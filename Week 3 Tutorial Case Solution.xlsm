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814"/>
  <workbookPr showInkAnnotation="0" codeName="ThisWorkbook" autoCompressPictures="0"/>
  <mc:AlternateContent xmlns:mc="http://schemas.openxmlformats.org/markup-compatibility/2006">
    <mc:Choice Requires="x15">
      <x15ac:absPath xmlns:x15ac="http://schemas.microsoft.com/office/spreadsheetml/2010/11/ac" url="/Users/wei-mingmac/Dropbox/Teaching Exeter/BEAM046_2022/Tutorial/Week 3/"/>
    </mc:Choice>
  </mc:AlternateContent>
  <xr:revisionPtr revIDLastSave="0" documentId="13_ncr:1_{B3B16E0B-B75D-7942-9F35-53CE7AA1CE4C}" xr6:coauthVersionLast="47" xr6:coauthVersionMax="47" xr10:uidLastSave="{00000000-0000-0000-0000-000000000000}"/>
  <bookViews>
    <workbookView xWindow="0" yWindow="0" windowWidth="25600" windowHeight="16000" tabRatio="500" xr2:uid="{00000000-000D-0000-FFFF-FFFF00000000}"/>
  </bookViews>
  <sheets>
    <sheet name="Sheet1" sheetId="1" r:id="rId1"/>
  </sheets>
  <definedNames>
    <definedName name="solver_adj" localSheetId="0" hidden="1">Sheet1!$V$76,Sheet1!$V$77</definedName>
    <definedName name="solver_cvg" localSheetId="0" hidden="1">0.0001</definedName>
    <definedName name="solver_drv" localSheetId="0" hidden="1">1</definedName>
    <definedName name="solver_eng" localSheetId="0" hidden="1">1</definedName>
    <definedName name="solver_est" localSheetId="0" hidden="1">1</definedName>
    <definedName name="solver_itr" localSheetId="0" hidden="1">2147483647</definedName>
    <definedName name="solver_lhs1" localSheetId="0" hidden="1">Sheet1!$S$27</definedName>
    <definedName name="solver_lhs2" localSheetId="0" hidden="1">Sheet1!$V$31</definedName>
    <definedName name="solver_mip" localSheetId="0" hidden="1">2147483647</definedName>
    <definedName name="solver_mni" localSheetId="0" hidden="1">30</definedName>
    <definedName name="solver_mrt" localSheetId="0" hidden="1">0.075</definedName>
    <definedName name="solver_msl" localSheetId="0" hidden="1">2</definedName>
    <definedName name="solver_neg" localSheetId="0" hidden="1">2</definedName>
    <definedName name="solver_nod" localSheetId="0" hidden="1">2147483647</definedName>
    <definedName name="solver_num" localSheetId="0" hidden="1">0</definedName>
    <definedName name="solver_nwt" localSheetId="0" hidden="1">1</definedName>
    <definedName name="solver_opt" localSheetId="0" hidden="1">Sheet1!$Y$79</definedName>
    <definedName name="solver_pre" localSheetId="0" hidden="1">0.000001</definedName>
    <definedName name="solver_rbv" localSheetId="0" hidden="1">1</definedName>
    <definedName name="solver_rel1" localSheetId="0" hidden="1">2</definedName>
    <definedName name="solver_rel2" localSheetId="0" hidden="1">2</definedName>
    <definedName name="solver_rhs1" localSheetId="0" hidden="1">1</definedName>
    <definedName name="solver_rhs2" localSheetId="0" hidden="1">0.001</definedName>
    <definedName name="solver_rlx" localSheetId="0" hidden="1">2</definedName>
    <definedName name="solver_rsd" localSheetId="0" hidden="1">0</definedName>
    <definedName name="solver_scl" localSheetId="0" hidden="1">1</definedName>
    <definedName name="solver_sho" localSheetId="0" hidden="1">2</definedName>
    <definedName name="solver_ssz" localSheetId="0" hidden="1">100</definedName>
    <definedName name="solver_tim" localSheetId="0" hidden="1">2147483647</definedName>
    <definedName name="solver_tol" localSheetId="0" hidden="1">0.01</definedName>
    <definedName name="solver_typ" localSheetId="0" hidden="1">2</definedName>
    <definedName name="solver_val" localSheetId="0" hidden="1">0</definedName>
    <definedName name="solver_ver" localSheetId="0" hidden="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Y79" i="1" l="1"/>
  <c r="AA71" i="1" a="1"/>
  <c r="AA71" i="1" s="1"/>
  <c r="S19" i="1" a="1"/>
  <c r="S19" i="1" s="1"/>
  <c r="AB15" i="1" a="1"/>
  <c r="AB15" i="1" s="1"/>
  <c r="AC15" i="1" a="1"/>
  <c r="AC15" i="1" s="1"/>
  <c r="AD15" i="1" a="1"/>
  <c r="AD15" i="1" s="1"/>
  <c r="AB16" i="1" a="1"/>
  <c r="AB16" i="1"/>
  <c r="AC16" i="1" a="1"/>
  <c r="AC16" i="1" s="1"/>
  <c r="AD16" i="1" a="1"/>
  <c r="AD16" i="1" s="1"/>
  <c r="AB17" i="1" a="1"/>
  <c r="AB17" i="1"/>
  <c r="AC17" i="1" a="1"/>
  <c r="AC17" i="1"/>
  <c r="AD17" i="1" a="1"/>
  <c r="AD17" i="1" s="1"/>
  <c r="AB18" i="1" a="1"/>
  <c r="AB18" i="1" s="1"/>
  <c r="AC18" i="1" a="1"/>
  <c r="AC18" i="1"/>
  <c r="AD18" i="1" a="1"/>
  <c r="AD18" i="1"/>
  <c r="AB19" i="1" a="1"/>
  <c r="AB19" i="1" s="1"/>
  <c r="AC19" i="1" a="1"/>
  <c r="AC19" i="1" s="1"/>
  <c r="AD19" i="1" a="1"/>
  <c r="AD19" i="1"/>
  <c r="AB20" i="1" a="1"/>
  <c r="AB20" i="1"/>
  <c r="AC20" i="1" a="1"/>
  <c r="AC20" i="1" s="1"/>
  <c r="AD20" i="1" a="1"/>
  <c r="AD20" i="1" s="1"/>
  <c r="AB21" i="1" a="1"/>
  <c r="AB21" i="1"/>
  <c r="AC21" i="1" a="1"/>
  <c r="AC21" i="1"/>
  <c r="AD21" i="1" a="1"/>
  <c r="AD21" i="1" s="1"/>
  <c r="AB22" i="1" a="1"/>
  <c r="AB22" i="1" s="1"/>
  <c r="AC22" i="1" a="1"/>
  <c r="AC22" i="1"/>
  <c r="AD22" i="1" a="1"/>
  <c r="AD22" i="1"/>
  <c r="AB23" i="1" a="1"/>
  <c r="AB23" i="1" s="1"/>
  <c r="AC23" i="1" a="1"/>
  <c r="AC23" i="1" s="1"/>
  <c r="AD23" i="1" a="1"/>
  <c r="AD23" i="1"/>
  <c r="AB24" i="1" a="1"/>
  <c r="AB24" i="1"/>
  <c r="AC24" i="1" a="1"/>
  <c r="AC24" i="1" s="1"/>
  <c r="AD24" i="1" a="1"/>
  <c r="AD24" i="1" s="1"/>
  <c r="AB25" i="1" a="1"/>
  <c r="AB25" i="1"/>
  <c r="AC25" i="1" a="1"/>
  <c r="AC25" i="1"/>
  <c r="AD25" i="1" a="1"/>
  <c r="AD25" i="1" s="1"/>
  <c r="AC14" i="1" a="1"/>
  <c r="AC14" i="1" s="1"/>
  <c r="AD14" i="1" a="1"/>
  <c r="AD14" i="1" s="1"/>
  <c r="AB14" i="1" a="1"/>
  <c r="AB14" i="1" s="1"/>
  <c r="AC12" i="1"/>
  <c r="AD12" i="1"/>
  <c r="AB12" i="1"/>
  <c r="X72" i="1"/>
  <c r="X73" i="1"/>
  <c r="X74" i="1"/>
  <c r="X75" i="1"/>
  <c r="X76" i="1"/>
  <c r="X77" i="1"/>
  <c r="X71" i="1"/>
  <c r="J53" i="1"/>
  <c r="J54" i="1"/>
  <c r="J55" i="1"/>
  <c r="J56" i="1"/>
  <c r="J57" i="1"/>
  <c r="J58" i="1"/>
  <c r="J59" i="1"/>
  <c r="J60" i="1"/>
  <c r="J61" i="1"/>
  <c r="J62" i="1"/>
  <c r="J63" i="1"/>
  <c r="J64" i="1"/>
  <c r="K53" i="1"/>
  <c r="K54" i="1"/>
  <c r="K55" i="1"/>
  <c r="K56" i="1"/>
  <c r="K57" i="1"/>
  <c r="K58" i="1"/>
  <c r="K59" i="1"/>
  <c r="K60" i="1"/>
  <c r="K61" i="1"/>
  <c r="K62" i="1"/>
  <c r="K63" i="1"/>
  <c r="K64" i="1"/>
  <c r="L53" i="1"/>
  <c r="L54" i="1"/>
  <c r="L55" i="1"/>
  <c r="L56" i="1"/>
  <c r="L57" i="1"/>
  <c r="L58" i="1"/>
  <c r="L59" i="1"/>
  <c r="L60" i="1"/>
  <c r="L61" i="1"/>
  <c r="L62" i="1"/>
  <c r="L63" i="1"/>
  <c r="L64" i="1"/>
  <c r="M53" i="1"/>
  <c r="M54" i="1"/>
  <c r="M55" i="1"/>
  <c r="M56" i="1"/>
  <c r="M57" i="1"/>
  <c r="M58" i="1"/>
  <c r="M59" i="1"/>
  <c r="M60" i="1"/>
  <c r="M61" i="1"/>
  <c r="M62" i="1"/>
  <c r="M63" i="1"/>
  <c r="M64" i="1"/>
  <c r="N53" i="1"/>
  <c r="N54" i="1"/>
  <c r="N55" i="1"/>
  <c r="N56" i="1"/>
  <c r="N57" i="1"/>
  <c r="N58" i="1"/>
  <c r="N59" i="1"/>
  <c r="N60" i="1"/>
  <c r="N61" i="1"/>
  <c r="N62" i="1"/>
  <c r="N63" i="1"/>
  <c r="N64" i="1"/>
  <c r="O53" i="1"/>
  <c r="O54" i="1"/>
  <c r="O55" i="1"/>
  <c r="O56" i="1"/>
  <c r="O57" i="1"/>
  <c r="O58" i="1"/>
  <c r="O59" i="1"/>
  <c r="O60" i="1"/>
  <c r="O61" i="1"/>
  <c r="O62" i="1"/>
  <c r="O63" i="1"/>
  <c r="O64" i="1"/>
  <c r="I53" i="1"/>
  <c r="I54" i="1"/>
  <c r="I55" i="1"/>
  <c r="I56" i="1"/>
  <c r="I57" i="1"/>
  <c r="I58" i="1"/>
  <c r="I59" i="1"/>
  <c r="I60" i="1"/>
  <c r="I61" i="1"/>
  <c r="I62" i="1"/>
  <c r="I63" i="1"/>
  <c r="I64" i="1"/>
  <c r="S43" i="1"/>
  <c r="S39"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AA77" i="1" l="1"/>
  <c r="AA76" i="1"/>
  <c r="AA75" i="1"/>
  <c r="AA74" i="1"/>
  <c r="AA73" i="1"/>
  <c r="AA72" i="1"/>
  <c r="S25" i="1"/>
  <c r="S24" i="1"/>
  <c r="S23" i="1"/>
  <c r="S22" i="1"/>
  <c r="S21" i="1"/>
  <c r="S20" i="1"/>
  <c r="S3" i="1"/>
  <c r="W3" i="1"/>
  <c r="Y3" i="1"/>
  <c r="V3" i="1"/>
  <c r="U3" i="1"/>
  <c r="X3" i="1"/>
  <c r="T3" i="1"/>
  <c r="S7" i="1" l="1" a="1"/>
  <c r="AB28" i="1"/>
  <c r="AB27" i="1"/>
  <c r="AC27" i="1"/>
  <c r="AC28" i="1"/>
  <c r="AD27" i="1"/>
  <c r="AD28" i="1"/>
  <c r="S7" i="1" l="1"/>
  <c r="Y7" i="1"/>
  <c r="V11" i="1"/>
  <c r="T13" i="1"/>
  <c r="Y11" i="1"/>
  <c r="Y64" i="1" s="1"/>
  <c r="W10" i="1"/>
  <c r="W63" i="1" s="1"/>
  <c r="U9" i="1"/>
  <c r="U62" i="1" s="1"/>
  <c r="W13" i="1"/>
  <c r="U12" i="1"/>
  <c r="U65" i="1" s="1"/>
  <c r="S11" i="1"/>
  <c r="X9" i="1"/>
  <c r="T7" i="1"/>
  <c r="V12" i="1"/>
  <c r="T11" i="1"/>
  <c r="T64" i="1" s="1"/>
  <c r="Y9" i="1"/>
  <c r="Y62" i="1" s="1"/>
  <c r="W8" i="1"/>
  <c r="U7" i="1"/>
  <c r="U60" i="1" s="1"/>
  <c r="Y13" i="1"/>
  <c r="Y66" i="1" s="1"/>
  <c r="T9" i="1"/>
  <c r="U13" i="1"/>
  <c r="U66" i="1" s="1"/>
  <c r="S12" i="1"/>
  <c r="S65" i="1" s="1"/>
  <c r="X10" i="1"/>
  <c r="X63" i="1" s="1"/>
  <c r="V9" i="1"/>
  <c r="T8" i="1"/>
  <c r="T61" i="1" s="1"/>
  <c r="S8" i="1"/>
  <c r="S61" i="1" s="1"/>
  <c r="V13" i="1"/>
  <c r="T12" i="1"/>
  <c r="Y10" i="1"/>
  <c r="Y63" i="1" s="1"/>
  <c r="W9" i="1"/>
  <c r="W62" i="1" s="1"/>
  <c r="U8" i="1"/>
  <c r="U61" i="1" s="1"/>
  <c r="V8" i="1"/>
  <c r="U11" i="1"/>
  <c r="U64" i="1" s="1"/>
  <c r="S10" i="1"/>
  <c r="S63" i="1" s="1"/>
  <c r="X8" i="1"/>
  <c r="V7" i="1"/>
  <c r="U10" i="1"/>
  <c r="U63" i="1" s="1"/>
  <c r="X12" i="1"/>
  <c r="X65" i="1" s="1"/>
  <c r="T10" i="1"/>
  <c r="T63" i="1" s="1"/>
  <c r="Y8" i="1"/>
  <c r="Y61" i="1" s="1"/>
  <c r="W7" i="1"/>
  <c r="W60" i="1" s="1"/>
  <c r="W12" i="1"/>
  <c r="W65" i="1" s="1"/>
  <c r="Y12" i="1"/>
  <c r="Y65" i="1" s="1"/>
  <c r="W11" i="1"/>
  <c r="W64" i="1" s="1"/>
  <c r="S9" i="1"/>
  <c r="S62" i="1" s="1"/>
  <c r="X7" i="1"/>
  <c r="X60" i="1" s="1"/>
  <c r="X13" i="1"/>
  <c r="X66" i="1" s="1"/>
  <c r="S13" i="1"/>
  <c r="X11" i="1"/>
  <c r="X64" i="1" s="1"/>
  <c r="V10" i="1"/>
  <c r="V63" i="1" s="1"/>
  <c r="AD29" i="1"/>
  <c r="AC29" i="1"/>
  <c r="AB29" i="1"/>
  <c r="W61" i="1" l="1"/>
  <c r="W66" i="1"/>
  <c r="S66" i="1"/>
  <c r="V61" i="1"/>
  <c r="V62" i="1"/>
  <c r="V65" i="1"/>
  <c r="T60" i="1"/>
  <c r="T66" i="1"/>
  <c r="V64" i="1"/>
  <c r="V60" i="1"/>
  <c r="T65" i="1"/>
  <c r="T62" i="1"/>
  <c r="X62" i="1"/>
  <c r="X61" i="1"/>
  <c r="V66" i="1"/>
  <c r="S64" i="1"/>
  <c r="Y60" i="1"/>
  <c r="S60" i="1"/>
  <c r="S44" i="1" a="1"/>
  <c r="S44" i="1" s="1"/>
  <c r="S45" i="1" s="1"/>
  <c r="S49" i="1" s="1" a="1"/>
  <c r="S55" i="1" l="1"/>
  <c r="T77" i="1" s="1"/>
  <c r="S49" i="1"/>
  <c r="S53" i="1"/>
  <c r="T75" i="1" s="1"/>
  <c r="S54" i="1"/>
  <c r="T76" i="1" s="1"/>
  <c r="S52" i="1"/>
  <c r="T74" i="1" s="1"/>
  <c r="S50" i="1"/>
  <c r="T72" i="1" s="1"/>
  <c r="S51" i="1"/>
  <c r="T73" i="1" s="1"/>
  <c r="T71" i="1" l="1"/>
  <c r="W71" i="1" a="1"/>
  <c r="S27" i="1" a="1"/>
  <c r="S27" i="1" s="1"/>
  <c r="W75" i="1" l="1"/>
  <c r="Y75" i="1" s="1"/>
  <c r="W71" i="1"/>
  <c r="W77" i="1"/>
  <c r="Y77" i="1" s="1"/>
  <c r="W73" i="1"/>
  <c r="Y73" i="1" s="1"/>
  <c r="W74" i="1"/>
  <c r="Y74" i="1" s="1"/>
  <c r="W76" i="1"/>
  <c r="Y76" i="1" s="1"/>
  <c r="W72" i="1"/>
  <c r="Y72" i="1" s="1"/>
  <c r="Y71" i="1"/>
  <c r="AA79"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Dai, Yingtong</author>
    <author>Richard Harris</author>
  </authors>
  <commentList>
    <comment ref="AB14" authorId="0" shapeId="0" xr:uid="{00000000-0006-0000-0000-000006000000}">
      <text>
        <r>
          <rPr>
            <b/>
            <sz val="9"/>
            <color rgb="FF000000"/>
            <rFont val="Tahoma"/>
            <family val="2"/>
          </rPr>
          <t>=MMULT($I53:$O53,AB$4:AB$10)</t>
        </r>
      </text>
    </comment>
    <comment ref="S19" authorId="0" shapeId="0" xr:uid="{00000000-0006-0000-0000-00000B000000}">
      <text>
        <r>
          <rPr>
            <b/>
            <sz val="9"/>
            <color rgb="FF000000"/>
            <rFont val="Tahoma"/>
            <family val="2"/>
          </rPr>
          <t>=MMULT(MINVERSE(S7:Y13),(TRANSPOSE(S3:Y3)-S15))/SUM(MMULT(MINVERSE(S7:Y13),(TRANSPOSE(S3:Y3)-S15)))</t>
        </r>
      </text>
    </comment>
    <comment ref="AB27" authorId="0" shapeId="0" xr:uid="{00000000-0006-0000-0000-000013000000}">
      <text>
        <r>
          <rPr>
            <b/>
            <sz val="9"/>
            <color rgb="FF000000"/>
            <rFont val="Tahoma"/>
            <family val="2"/>
          </rPr>
          <t>=AVERAGE(AB14:AB25)</t>
        </r>
      </text>
    </comment>
    <comment ref="AB28" authorId="0" shapeId="0" xr:uid="{00000000-0006-0000-0000-000014000000}">
      <text>
        <r>
          <rPr>
            <b/>
            <sz val="9"/>
            <color rgb="FF000000"/>
            <rFont val="Tahoma"/>
            <family val="2"/>
          </rPr>
          <t>=STDEV.S(AB14:AB25)</t>
        </r>
      </text>
    </comment>
    <comment ref="AB29" authorId="0" shapeId="0" xr:uid="{00000000-0006-0000-0000-000015000000}">
      <text>
        <r>
          <rPr>
            <b/>
            <sz val="9"/>
            <color rgb="FF000000"/>
            <rFont val="Tahoma"/>
            <family val="2"/>
          </rPr>
          <t>=(AB27-S15)/AB28</t>
        </r>
      </text>
    </comment>
    <comment ref="S31" authorId="0" shapeId="0" xr:uid="{00000000-0006-0000-0000-000016000000}">
      <text>
        <r>
          <rPr>
            <b/>
            <sz val="9"/>
            <color rgb="FF000000"/>
            <rFont val="Tahoma"/>
            <family val="2"/>
          </rPr>
          <t>Given information from practical material</t>
        </r>
      </text>
    </comment>
    <comment ref="S43" authorId="0" shapeId="0" xr:uid="{00000000-0006-0000-0000-000018000000}">
      <text>
        <r>
          <rPr>
            <b/>
            <sz val="9"/>
            <color rgb="FF000000"/>
            <rFont val="Tahoma"/>
            <family val="2"/>
          </rPr>
          <t>=(1+T43)^(1/12)-1</t>
        </r>
      </text>
    </comment>
    <comment ref="T43" authorId="0" shapeId="0" xr:uid="{00000000-0006-0000-0000-000019000000}">
      <text>
        <r>
          <rPr>
            <b/>
            <sz val="9"/>
            <color rgb="FF000000"/>
            <rFont val="Tahoma"/>
            <family val="2"/>
          </rPr>
          <t>Given information from practical material</t>
        </r>
      </text>
    </comment>
    <comment ref="S44" authorId="0" shapeId="0" xr:uid="{00000000-0006-0000-0000-00001A000000}">
      <text>
        <r>
          <rPr>
            <b/>
            <sz val="9"/>
            <color rgb="FF000000"/>
            <rFont val="Tahoma"/>
            <family val="2"/>
          </rPr>
          <t>=MMULT(TRANSPOSE(S31:S37),MMULT(S7:Y13,S31:S37))</t>
        </r>
      </text>
    </comment>
    <comment ref="S49" authorId="0" shapeId="0" xr:uid="{00000000-0006-0000-0000-00001C000000}">
      <text>
        <r>
          <rPr>
            <b/>
            <sz val="9"/>
            <color rgb="FF000000"/>
            <rFont val="Tahoma"/>
            <family val="2"/>
          </rPr>
          <t>=MMULT(S7:Y13,S31:S37)*S45+S15</t>
        </r>
      </text>
    </comment>
    <comment ref="I52" authorId="1" shapeId="0" xr:uid="{00000000-0006-0000-0000-00001D000000}">
      <text>
        <r>
          <rPr>
            <b/>
            <sz val="9"/>
            <color rgb="FF000000"/>
            <rFont val="Tahoma"/>
            <family val="2"/>
          </rPr>
          <t xml:space="preserve">We construct the portfolio as if we are at this date and then use the 
</t>
        </r>
        <r>
          <rPr>
            <b/>
            <sz val="9"/>
            <color rgb="FF000000"/>
            <rFont val="Tahoma"/>
            <family val="2"/>
          </rPr>
          <t>following 12 months' data to evaluate the portfolio</t>
        </r>
      </text>
    </comment>
    <comment ref="T71" authorId="0" shapeId="0" xr:uid="{00000000-0006-0000-0000-000025000000}">
      <text>
        <r>
          <rPr>
            <b/>
            <sz val="9"/>
            <color rgb="FF000000"/>
            <rFont val="Tahoma"/>
            <family val="2"/>
          </rPr>
          <t>=S49+S71</t>
        </r>
      </text>
    </comment>
    <comment ref="W71" authorId="0" shapeId="0" xr:uid="{00000000-0006-0000-0000-000026000000}">
      <text>
        <r>
          <rPr>
            <b/>
            <sz val="9"/>
            <color rgb="FF000000"/>
            <rFont val="Tahoma"/>
            <family val="2"/>
          </rPr>
          <t>=S49:S55+MMULT(S60:Y66,V71:V77)</t>
        </r>
      </text>
    </comment>
    <comment ref="X71" authorId="0" shapeId="0" xr:uid="{00000000-0006-0000-0000-000027000000}">
      <text>
        <r>
          <rPr>
            <b/>
            <sz val="9"/>
            <color rgb="FF000000"/>
            <rFont val="Tahoma"/>
            <family val="2"/>
          </rPr>
          <t>=IF(S71=0,0,1)</t>
        </r>
      </text>
    </comment>
    <comment ref="AA71" authorId="0" shapeId="0" xr:uid="{00000000-0006-0000-0000-000029000000}">
      <text>
        <r>
          <rPr>
            <b/>
            <sz val="9"/>
            <color rgb="FF000000"/>
            <rFont val="Tahoma"/>
            <family val="2"/>
          </rPr>
          <t>=MMULT(MINVERSE(S7:Y13),(W71:W77-S15))
/SUM(MMULT(MINVERSE(S7:Y13),(W71:W77-S15)))</t>
        </r>
      </text>
    </comment>
    <comment ref="V77" authorId="0" shapeId="0" xr:uid="{00000000-0006-0000-0000-00002A000000}">
      <text>
        <r>
          <rPr>
            <b/>
            <sz val="9"/>
            <color rgb="FF000000"/>
            <rFont val="Tahoma"/>
            <family val="2"/>
          </rPr>
          <t>Set Objective of Objective calculated (Y79) to be Minimum (or Value of 0), by change the Solver delta of those assets imposed views on (V76 V77), leave constraints blank, and Solve.</t>
        </r>
      </text>
    </comment>
    <comment ref="AA79" authorId="0" shapeId="0" xr:uid="{00000000-0006-0000-0000-00002C000000}">
      <text>
        <r>
          <rPr>
            <b/>
            <sz val="9"/>
            <color rgb="FF000000"/>
            <rFont val="Tahoma"/>
            <family val="2"/>
          </rPr>
          <t>=SUM(AA71:AA77)</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<sst xmlns="http://schemas.openxmlformats.org/spreadsheetml/2006/main" count="132" uniqueCount="45">
  <si>
    <t>Date</t>
  </si>
  <si>
    <t>US</t>
  </si>
  <si>
    <t>UK</t>
  </si>
  <si>
    <t>Japan</t>
  </si>
  <si>
    <t>Germany</t>
  </si>
  <si>
    <t>France</t>
  </si>
  <si>
    <t>Canada</t>
  </si>
  <si>
    <t>Italy</t>
  </si>
  <si>
    <t>Adjusted close price</t>
  </si>
  <si>
    <t>^GSPC</t>
  </si>
  <si>
    <t>^FTSE</t>
  </si>
  <si>
    <t>^N225</t>
  </si>
  <si>
    <t>^GDAXI</t>
  </si>
  <si>
    <t>^FCHI</t>
  </si>
  <si>
    <t>^GSPTSE</t>
  </si>
  <si>
    <t>FTSEMIB.MI</t>
  </si>
  <si>
    <t>Simple return</t>
  </si>
  <si>
    <t>Mean return</t>
  </si>
  <si>
    <t>Covariance matrix</t>
  </si>
  <si>
    <t>Sum</t>
  </si>
  <si>
    <t>St dev</t>
  </si>
  <si>
    <t>Portfolio</t>
  </si>
  <si>
    <t>Risk free rate</t>
  </si>
  <si>
    <t>A. Tangency portfolio</t>
  </si>
  <si>
    <t>B. Market portfolio</t>
  </si>
  <si>
    <t>C. Active portfolio</t>
  </si>
  <si>
    <t>Market ER</t>
  </si>
  <si>
    <t>Market variance</t>
  </si>
  <si>
    <t>Lambda</t>
  </si>
  <si>
    <t>Implied ER</t>
  </si>
  <si>
    <t>Tracking factors</t>
  </si>
  <si>
    <t>Views</t>
  </si>
  <si>
    <t>Analyst delta</t>
  </si>
  <si>
    <t>Analyst ER</t>
  </si>
  <si>
    <t>Solver delta</t>
  </si>
  <si>
    <t>Adjusted ER</t>
  </si>
  <si>
    <t>Objective</t>
  </si>
  <si>
    <t>Tangency</t>
  </si>
  <si>
    <t>Market</t>
  </si>
  <si>
    <t>Active</t>
  </si>
  <si>
    <t>Mean</t>
  </si>
  <si>
    <t>Sharpe</t>
  </si>
  <si>
    <t>D. Evaluation</t>
  </si>
  <si>
    <t>Adj. dummy</t>
  </si>
  <si>
    <t>Abs. Diff.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</si>
</sst>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000"/>
    <numFmt numFmtId="166" formatCode="0.0%"/>
    <numFmt numFmtId="167" formatCode="0.000"/>
    <numFmt numFmtId="168" formatCode="[$$-409]#,##0.00"/>
    <numFmt numFmtId="169" formatCode="#,##0.0000"/>
  </numFmts>
  <fonts count="6" x14ac:knownFonts="1">
    <font>
      <sz val="12"/>
      <color theme="1"/>
      <name val="Calibri"/>
      <family val="2"/>
      <scheme val="minor"/>
    </font>
    <font>
      <sz val="12"/>
      <color theme="1"/>
      <name val="Calibri"/>
      <family val="2"/>
      <scheme val="minor"/>
    </font>
    <font>
      <b/>
      <sz val="12"/>
      <color theme="1"/>
      <name val="Calibri"/>
      <family val="2"/>
      <scheme val="minor"/>
    </font>
    <font>
      <u/>
      <sz val="12"/>
      <color theme="10"/>
      <name val="Calibri"/>
      <family val="2"/>
      <scheme val="minor"/>
    </font>
    <font>
      <u/>
      <sz val="12"/>
      <color theme="11"/>
      <name val="Calibri"/>
      <family val="2"/>
      <scheme val="minor"/>
    </font>
    <font>
      <b/>
      <sz val="9"/>
      <color rgb="FF000000"/>
      <name val="Tahoma"/>
      <family val="2"/>
    </font>
  </fonts>
  <fills count="4">
    <fill>
      <patternFill patternType="none"/>
    </fill>
    <fill>
      <patternFill patternType="gray125"/>
    </fill>
    <fill>
      <patternFill patternType="solid">
        <fgColor theme="0" tint="-0.14999847407452621"/>
        <bgColor indexed="64"/>
      </patternFill>
    </fill>
    <fill>
      <patternFill patternType="solid">
        <fgColor theme="6" tint="0.79998168889431442"/>
        <bgColor indexed="64"/>
      </patternFill>
    </fill>
  </fills>
  <borders count="1">
    <border>
      <left/>
      <right/>
      <top/>
      <bottom/>
      <diagonal/>
    </border>
  </borders>
  <cellStyleXfs count="40">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9" fontId="1" fillId="0" borderId="0" applyFon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cellStyleXfs>
  <cellXfs count="31">
    <xf numFmtId="0" fontId="0" fillId="0" borderId="0" xfId="0"/>
    <xf numFmtId="0" fontId="0" fillId="0" borderId="0" xfId="0" applyFill="1"/>
    <xf numFmtId="0" fontId="2" fillId="2" borderId="0" xfId="0" applyFont="1" applyFill="1" applyAlignment="1">
      <alignment horizontal="center"/>
    </xf>
    <xf numFmtId="14" fontId="0" fillId="2" borderId="0" xfId="0" applyNumberFormat="1" applyFill="1" applyAlignment="1">
      <alignment horizontal="center"/>
    </xf>
    <xf numFmtId="0" fontId="0" fillId="0" borderId="0" xfId="0" applyFill="1" applyAlignment="1">
      <alignment horizontal="center"/>
    </xf>
    <xf numFmtId="0" fontId="2" fillId="2" borderId="0" xfId="0" applyFont="1" applyFill="1" applyAlignment="1">
      <alignment horizontal="center"/>
    </xf>
    <xf numFmtId="10" fontId="0" fillId="0" borderId="0" xfId="0" applyNumberFormat="1"/>
    <xf numFmtId="0" fontId="2" fillId="2" borderId="0" xfId="0" applyFont="1" applyFill="1" applyAlignment="1">
      <alignment horizontal="center"/>
    </xf>
    <xf numFmtId="165" fontId="0" fillId="0" borderId="0" xfId="0" applyNumberFormat="1"/>
    <xf numFmtId="166" fontId="0" fillId="0" borderId="0" xfId="0" applyNumberFormat="1"/>
    <xf numFmtId="10" fontId="0" fillId="0" borderId="0" xfId="37" applyNumberFormat="1" applyFont="1"/>
    <xf numFmtId="10" fontId="0" fillId="3" borderId="0" xfId="37" applyNumberFormat="1" applyFont="1" applyFill="1"/>
    <xf numFmtId="0" fontId="2" fillId="2" borderId="0" xfId="0" applyFont="1" applyFill="1" applyAlignment="1">
      <alignment horizontal="left"/>
    </xf>
    <xf numFmtId="167" fontId="0" fillId="0" borderId="0" xfId="0" applyNumberFormat="1"/>
    <xf numFmtId="168" fontId="2" fillId="2" borderId="0" xfId="0" applyNumberFormat="1" applyFont="1" applyFill="1" applyAlignment="1">
      <alignment horizontal="center"/>
    </xf>
    <xf numFmtId="10" fontId="0" fillId="0" borderId="0" xfId="0" applyNumberFormat="1" applyFill="1" applyAlignment="1">
      <alignment horizontal="center"/>
    </xf>
    <xf numFmtId="10" fontId="0" fillId="0" borderId="0" xfId="37" applyNumberFormat="1" applyFont="1" applyFill="1" applyAlignment="1">
      <alignment horizontal="center"/>
    </xf>
    <xf numFmtId="166" fontId="0" fillId="0" borderId="0" xfId="0" applyNumberFormat="1" applyFill="1"/>
    <xf numFmtId="166" fontId="0" fillId="0" borderId="0" xfId="0" applyNumberFormat="1" applyAlignment="1">
      <alignment horizontal="center"/>
    </xf>
    <xf numFmtId="10" fontId="0" fillId="0" borderId="0" xfId="37" applyNumberFormat="1" applyFont="1" applyAlignment="1">
      <alignment horizontal="center"/>
    </xf>
    <xf numFmtId="10" fontId="0" fillId="0" borderId="0" xfId="0" applyNumberFormat="1" applyAlignment="1">
      <alignment horizontal="center"/>
    </xf>
    <xf numFmtId="9" fontId="0" fillId="0" borderId="0" xfId="0" applyNumberFormat="1"/>
    <xf numFmtId="169" fontId="0" fillId="0" borderId="0" xfId="37" applyNumberFormat="1" applyFont="1" applyAlignment="1">
      <alignment horizontal="center"/>
    </xf>
    <xf numFmtId="169" fontId="0" fillId="0" borderId="0" xfId="0" applyNumberFormat="1" applyAlignment="1">
      <alignment horizontal="center"/>
    </xf>
    <xf numFmtId="165" fontId="0" fillId="0" borderId="0" xfId="0" applyNumberFormat="1" applyFill="1"/>
    <xf numFmtId="167" fontId="0" fillId="0" borderId="0" xfId="0" applyNumberFormat="1" applyFill="1"/>
    <xf numFmtId="0" fontId="2" fillId="0" borderId="0" xfId="0" applyFont="1" applyFill="1" applyAlignment="1">
      <alignment horizontal="center"/>
    </xf>
    <xf numFmtId="0" fontId="2" fillId="0" borderId="0" xfId="0" applyFont="1" applyFill="1" applyAlignment="1">
      <alignment horizontal="center"/>
    </xf>
    <xf numFmtId="14" fontId="0" fillId="0" borderId="0" xfId="0" applyNumberFormat="1" applyFill="1" applyAlignment="1">
      <alignment horizontal="center"/>
    </xf>
    <xf numFmtId="164" fontId="0" fillId="0" borderId="0" xfId="0" applyNumberFormat="1" applyFill="1" applyAlignment="1">
      <alignment horizontal="center"/>
    </xf>
    <xf numFmtId="10" fontId="0" fillId="0" borderId="0" xfId="37" applyNumberFormat="1" applyFont="1" applyFill="1"/>
  </cellXfs>
  <cellStyles count="4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9"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8" builtinId="8" hidden="1"/>
    <cellStyle name="Normal" xfId="0" builtinId="0"/>
    <cellStyle name="Percent" xfId="37" builtinId="5"/>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D79"/>
  <sheetViews>
    <sheetView tabSelected="1" topLeftCell="I1" workbookViewId="0">
      <selection activeCell="Q1" sqref="Q1"/>
    </sheetView>
  </sheetViews>
  <sheetFormatPr baseColWidth="10" defaultColWidth="10.83203125" defaultRowHeight="16" x14ac:dyDescent="0.2"/>
  <cols>
    <col min="1" max="8" width="10.83203125" style="4"/>
    <col min="9" max="17" width="10.83203125" style="1"/>
    <col min="18" max="18" width="19.1640625" style="1" bestFit="1" customWidth="1"/>
    <col min="19" max="19" width="16.5" style="1" bestFit="1" customWidth="1"/>
    <col min="20" max="26" width="10.83203125" style="1"/>
    <col min="27" max="27" width="12.33203125" style="1" bestFit="1" customWidth="1"/>
    <col min="28" max="16384" width="10.83203125" style="1"/>
  </cols>
  <sheetData>
    <row r="1" spans="1:30" customFormat="1" x14ac:dyDescent="0.2">
      <c r="A1" s="26"/>
      <c r="B1" s="27" t="s">
        <v>8</v>
      </c>
      <c r="C1" s="27"/>
      <c r="D1" s="27"/>
      <c r="E1" s="27"/>
      <c r="F1" s="27"/>
      <c r="G1" s="27"/>
      <c r="H1" s="27"/>
      <c r="I1" s="27" t="s">
        <v>16</v>
      </c>
      <c r="J1" s="27"/>
      <c r="K1" s="27"/>
      <c r="L1" s="27"/>
      <c r="M1" s="27"/>
      <c r="N1" s="27"/>
      <c r="O1" s="27"/>
      <c r="AA1" s="7" t="s">
        <v>42</v>
      </c>
    </row>
    <row r="2" spans="1:30" customFormat="1" x14ac:dyDescent="0.2">
      <c r="A2" s="26" t="s">
        <v>0</v>
      </c>
      <c r="B2" s="26" t="s">
        <v>1</v>
      </c>
      <c r="C2" s="26" t="s">
        <v>2</v>
      </c>
      <c r="D2" s="26" t="s">
        <v>3</v>
      </c>
      <c r="E2" s="26" t="s">
        <v>4</v>
      </c>
      <c r="F2" s="26" t="s">
        <v>5</v>
      </c>
      <c r="G2" s="26" t="s">
        <v>6</v>
      </c>
      <c r="H2" s="26" t="s">
        <v>7</v>
      </c>
      <c r="I2" s="26" t="s">
        <v>1</v>
      </c>
      <c r="J2" s="26" t="s">
        <v>2</v>
      </c>
      <c r="K2" s="26" t="s">
        <v>3</v>
      </c>
      <c r="L2" s="26" t="s">
        <v>4</v>
      </c>
      <c r="M2" s="26" t="s">
        <v>5</v>
      </c>
      <c r="N2" s="26" t="s">
        <v>6</v>
      </c>
      <c r="O2" s="26" t="s">
        <v>7</v>
      </c>
      <c r="R2" s="26"/>
      <c r="S2" s="2" t="s">
        <v>1</v>
      </c>
      <c r="T2" s="2" t="s">
        <v>2</v>
      </c>
      <c r="U2" s="2" t="s">
        <v>3</v>
      </c>
      <c r="V2" s="2" t="s">
        <v>4</v>
      </c>
      <c r="W2" s="2" t="s">
        <v>5</v>
      </c>
      <c r="X2" s="2" t="s">
        <v>6</v>
      </c>
      <c r="Y2" s="2" t="s">
        <v>7</v>
      </c>
    </row>
    <row r="3" spans="1:30" customFormat="1" x14ac:dyDescent="0.2">
      <c r="A3" s="4"/>
      <c r="B3" s="4" t="s">
        <v>9</v>
      </c>
      <c r="C3" s="4" t="s">
        <v>10</v>
      </c>
      <c r="D3" s="4" t="s">
        <v>11</v>
      </c>
      <c r="E3" s="4" t="s">
        <v>12</v>
      </c>
      <c r="F3" s="4" t="s">
        <v>13</v>
      </c>
      <c r="G3" s="4" t="s">
        <v>14</v>
      </c>
      <c r="H3" s="4" t="s">
        <v>15</v>
      </c>
      <c r="I3" s="4" t="s">
        <v>9</v>
      </c>
      <c r="J3" s="4" t="s">
        <v>10</v>
      </c>
      <c r="K3" s="4" t="s">
        <v>11</v>
      </c>
      <c r="L3" s="4" t="s">
        <v>12</v>
      </c>
      <c r="M3" s="4" t="s">
        <v>13</v>
      </c>
      <c r="N3" s="4" t="s">
        <v>14</v>
      </c>
      <c r="O3" s="4" t="s">
        <v>15</v>
      </c>
      <c r="R3" s="2" t="s">
        <v>17</v>
      </c>
      <c r="S3" s="6">
        <f>AVERAGE(I5:I52)</f>
        <v>6.6241873393452283E-3</v>
      </c>
      <c r="T3" s="6">
        <f t="shared" ref="T3" si="0">AVERAGE(J5:J52)</f>
        <v>2.2342048481739005E-3</v>
      </c>
      <c r="U3" s="6">
        <f t="shared" ref="U3" si="1">AVERAGE(K5:K52)</f>
        <v>7.1212588505010221E-3</v>
      </c>
      <c r="V3" s="6">
        <f t="shared" ref="V3" si="2">AVERAGE(L5:L52)</f>
        <v>5.3692072363755493E-3</v>
      </c>
      <c r="W3" s="6">
        <f t="shared" ref="W3:X3" si="3">AVERAGE(M5:M52)</f>
        <v>4.6907369922074846E-3</v>
      </c>
      <c r="X3" s="6">
        <f t="shared" si="3"/>
        <v>8.2903517463435005E-4</v>
      </c>
      <c r="Y3" s="6">
        <f t="shared" ref="Y3" si="4">AVERAGE(O5:O52)</f>
        <v>2.4159437529485015E-3</v>
      </c>
      <c r="AB3" s="7" t="s">
        <v>37</v>
      </c>
      <c r="AC3" s="7" t="s">
        <v>38</v>
      </c>
      <c r="AD3" s="7" t="s">
        <v>39</v>
      </c>
    </row>
    <row r="4" spans="1:30" customFormat="1" x14ac:dyDescent="0.2">
      <c r="A4" s="28">
        <v>41913</v>
      </c>
      <c r="B4" s="29">
        <v>2018.0500489999999</v>
      </c>
      <c r="C4" s="29">
        <v>6546.47</v>
      </c>
      <c r="D4" s="29">
        <v>16413.759765999999</v>
      </c>
      <c r="E4" s="29">
        <v>9326.8701170000004</v>
      </c>
      <c r="F4" s="29">
        <v>4233.0898440000001</v>
      </c>
      <c r="G4" s="29">
        <v>14613.299805000001</v>
      </c>
      <c r="H4" s="29">
        <v>17555.77</v>
      </c>
      <c r="I4" s="30"/>
      <c r="J4" s="30"/>
      <c r="K4" s="30"/>
      <c r="L4" s="30"/>
      <c r="M4" s="30"/>
      <c r="N4" s="30"/>
      <c r="O4" s="30"/>
      <c r="S4" s="6"/>
      <c r="T4" s="6"/>
      <c r="U4" s="6"/>
      <c r="V4" s="6"/>
      <c r="W4" s="6"/>
      <c r="X4" s="6"/>
      <c r="Y4" s="6"/>
      <c r="AA4" s="7" t="s">
        <v>1</v>
      </c>
      <c r="AB4" s="6">
        <v>5.6360862893611774</v>
      </c>
      <c r="AC4" s="20">
        <v>0.60019999999999996</v>
      </c>
      <c r="AD4" s="20">
        <v>0.47120955403933579</v>
      </c>
    </row>
    <row r="5" spans="1:30" customFormat="1" x14ac:dyDescent="0.2">
      <c r="A5" s="28">
        <v>41944</v>
      </c>
      <c r="B5" s="29">
        <v>2067.5600589999999</v>
      </c>
      <c r="C5" s="29">
        <v>6722.62</v>
      </c>
      <c r="D5" s="29">
        <v>17459.849609000001</v>
      </c>
      <c r="E5" s="29">
        <v>9980.8496090000008</v>
      </c>
      <c r="F5" s="29">
        <v>4390.1801759999998</v>
      </c>
      <c r="G5" s="29">
        <v>14744.700194999999</v>
      </c>
      <c r="H5" s="29">
        <v>18444.580000000002</v>
      </c>
      <c r="I5" s="30">
        <f>(B5-B4)/B4</f>
        <v>2.4533588760364766E-2</v>
      </c>
      <c r="J5" s="30">
        <f t="shared" ref="J5:O20" si="5">(C5-C4)/C4</f>
        <v>2.6907631135558496E-2</v>
      </c>
      <c r="K5" s="30">
        <f t="shared" si="5"/>
        <v>6.3732493829165598E-2</v>
      </c>
      <c r="L5" s="30">
        <f t="shared" si="5"/>
        <v>7.011778697421743E-2</v>
      </c>
      <c r="M5" s="30">
        <f t="shared" si="5"/>
        <v>3.711008690794982E-2</v>
      </c>
      <c r="N5" s="30">
        <f t="shared" si="5"/>
        <v>8.9918356396848642E-3</v>
      </c>
      <c r="O5" s="30">
        <f t="shared" si="5"/>
        <v>5.062779929333782E-2</v>
      </c>
      <c r="R5" s="5" t="s">
        <v>18</v>
      </c>
      <c r="AA5" s="7" t="s">
        <v>2</v>
      </c>
      <c r="AB5" s="6">
        <v>0.12945102185673413</v>
      </c>
      <c r="AC5" s="20">
        <v>0.1024</v>
      </c>
      <c r="AD5" s="20">
        <v>8.0392966233968355E-2</v>
      </c>
    </row>
    <row r="6" spans="1:30" customFormat="1" x14ac:dyDescent="0.2">
      <c r="A6" s="28">
        <v>41974</v>
      </c>
      <c r="B6" s="29">
        <v>2058.8999020000001</v>
      </c>
      <c r="C6" s="29">
        <v>6566.09</v>
      </c>
      <c r="D6" s="29">
        <v>17450.769531000002</v>
      </c>
      <c r="E6" s="29">
        <v>9805.5498050000006</v>
      </c>
      <c r="F6" s="29">
        <v>4272.75</v>
      </c>
      <c r="G6" s="29">
        <v>14632.400390999999</v>
      </c>
      <c r="H6" s="29">
        <v>17729.07</v>
      </c>
      <c r="I6" s="30">
        <f t="shared" ref="I6:O55" si="6">(B6-B5)/B5</f>
        <v>-4.1885878779204062E-3</v>
      </c>
      <c r="J6" s="30">
        <f t="shared" si="5"/>
        <v>-2.3284076743888507E-2</v>
      </c>
      <c r="K6" s="30">
        <f t="shared" si="5"/>
        <v>-5.2005476583936636E-4</v>
      </c>
      <c r="L6" s="30">
        <f t="shared" si="5"/>
        <v>-1.7563615410248007E-2</v>
      </c>
      <c r="M6" s="30">
        <f t="shared" si="5"/>
        <v>-2.6748372798447044E-2</v>
      </c>
      <c r="N6" s="30">
        <f t="shared" si="5"/>
        <v>-7.6162826313743324E-3</v>
      </c>
      <c r="O6" s="30">
        <f t="shared" si="5"/>
        <v>-3.8792425742413324E-2</v>
      </c>
      <c r="S6" s="5" t="s">
        <v>1</v>
      </c>
      <c r="T6" s="5" t="s">
        <v>2</v>
      </c>
      <c r="U6" s="5" t="s">
        <v>3</v>
      </c>
      <c r="V6" s="5" t="s">
        <v>4</v>
      </c>
      <c r="W6" s="5" t="s">
        <v>5</v>
      </c>
      <c r="X6" s="5" t="s">
        <v>6</v>
      </c>
      <c r="Y6" s="5" t="s">
        <v>7</v>
      </c>
      <c r="AA6" s="7" t="s">
        <v>3</v>
      </c>
      <c r="AB6" s="6">
        <v>1.1512241192140131</v>
      </c>
      <c r="AC6" s="20">
        <v>0.1255</v>
      </c>
      <c r="AD6" s="20">
        <v>9.8528488890264346E-2</v>
      </c>
    </row>
    <row r="7" spans="1:30" customFormat="1" x14ac:dyDescent="0.2">
      <c r="A7" s="28">
        <v>42005</v>
      </c>
      <c r="B7" s="29">
        <v>1994.98999</v>
      </c>
      <c r="C7" s="29">
        <v>6749.4</v>
      </c>
      <c r="D7" s="29">
        <v>17674.390625</v>
      </c>
      <c r="E7" s="29">
        <v>10694.320313</v>
      </c>
      <c r="F7" s="29">
        <v>4604.25</v>
      </c>
      <c r="G7" s="29">
        <v>14673.5</v>
      </c>
      <c r="H7" s="29">
        <v>17991.759999999998</v>
      </c>
      <c r="I7" s="30">
        <f t="shared" si="6"/>
        <v>-3.1040805790470173E-2</v>
      </c>
      <c r="J7" s="30">
        <f t="shared" si="5"/>
        <v>2.7917680080534912E-2</v>
      </c>
      <c r="K7" s="30">
        <f t="shared" si="5"/>
        <v>1.2814397302236553E-2</v>
      </c>
      <c r="L7" s="30">
        <f t="shared" si="5"/>
        <v>9.0639538391493552E-2</v>
      </c>
      <c r="M7" s="30">
        <f t="shared" si="5"/>
        <v>7.7584693698437776E-2</v>
      </c>
      <c r="N7" s="30">
        <f t="shared" si="5"/>
        <v>2.8088083910880446E-3</v>
      </c>
      <c r="O7" s="30">
        <f t="shared" si="5"/>
        <v>1.4816908049886356E-2</v>
      </c>
      <c r="R7" s="5" t="s">
        <v>1</v>
      </c>
      <c r="S7" s="24">
        <f t="array" ref="S7:Y13">MMULT(TRANSPOSE(I5:O52-S3:Y3),I5:O52-S3:Y3)/(COUNT(O5:O52)-1)</f>
        <v>9.2065627126937768E-4</v>
      </c>
      <c r="T7" s="24">
        <v>5.0344153566043222E-4</v>
      </c>
      <c r="U7" s="24">
        <v>9.4943530842300458E-4</v>
      </c>
      <c r="V7" s="24">
        <v>9.0822358252816838E-4</v>
      </c>
      <c r="W7" s="24">
        <v>7.6392335088445627E-4</v>
      </c>
      <c r="X7" s="24">
        <v>4.6737970863708301E-4</v>
      </c>
      <c r="Y7" s="24">
        <v>6.989259198693443E-4</v>
      </c>
      <c r="AA7" s="7" t="s">
        <v>4</v>
      </c>
      <c r="AB7" s="6">
        <v>-0.29900111976791616</v>
      </c>
      <c r="AC7" s="20">
        <v>5.0500000000000003E-2</v>
      </c>
      <c r="AD7" s="20">
        <v>3.964692182437006E-2</v>
      </c>
    </row>
    <row r="8" spans="1:30" customFormat="1" x14ac:dyDescent="0.2">
      <c r="A8" s="28">
        <v>42036</v>
      </c>
      <c r="B8" s="29">
        <v>2104.5</v>
      </c>
      <c r="C8" s="29">
        <v>6946.66</v>
      </c>
      <c r="D8" s="29">
        <v>18797.939452999999</v>
      </c>
      <c r="E8" s="29">
        <v>11401.660156</v>
      </c>
      <c r="F8" s="29">
        <v>4951.4799800000001</v>
      </c>
      <c r="G8" s="29">
        <v>15234.299805000001</v>
      </c>
      <c r="H8" s="29">
        <v>20246.54</v>
      </c>
      <c r="I8" s="30">
        <f t="shared" si="6"/>
        <v>5.4892511014553995E-2</v>
      </c>
      <c r="J8" s="30">
        <f t="shared" si="5"/>
        <v>2.9226301597179042E-2</v>
      </c>
      <c r="K8" s="30">
        <f t="shared" si="5"/>
        <v>6.3569310639245813E-2</v>
      </c>
      <c r="L8" s="30">
        <f t="shared" si="5"/>
        <v>6.6141636148690855E-2</v>
      </c>
      <c r="M8" s="30">
        <f t="shared" si="5"/>
        <v>7.5415101265135481E-2</v>
      </c>
      <c r="N8" s="30">
        <f t="shared" si="5"/>
        <v>3.8218543973830413E-2</v>
      </c>
      <c r="O8" s="30">
        <f t="shared" si="5"/>
        <v>0.12532292560594421</v>
      </c>
      <c r="R8" s="5" t="s">
        <v>2</v>
      </c>
      <c r="S8" s="24">
        <v>5.0344153566043222E-4</v>
      </c>
      <c r="T8" s="24">
        <v>9.3524433656813502E-4</v>
      </c>
      <c r="U8" s="24">
        <v>6.3551579163590409E-4</v>
      </c>
      <c r="V8" s="24">
        <v>8.8592511903730039E-4</v>
      </c>
      <c r="W8" s="24">
        <v>8.1085137676170226E-4</v>
      </c>
      <c r="X8" s="24">
        <v>4.3110418489363201E-4</v>
      </c>
      <c r="Y8" s="24">
        <v>4.5041388626012262E-4</v>
      </c>
      <c r="AA8" s="7" t="s">
        <v>5</v>
      </c>
      <c r="AB8" s="6">
        <v>0.41898630110689433</v>
      </c>
      <c r="AC8" s="20">
        <v>5.7500000000000002E-2</v>
      </c>
      <c r="AD8" s="20">
        <v>4.5142534750519485E-2</v>
      </c>
    </row>
    <row r="9" spans="1:30" customFormat="1" x14ac:dyDescent="0.2">
      <c r="A9" s="28">
        <v>42064</v>
      </c>
      <c r="B9" s="29">
        <v>2067.889893</v>
      </c>
      <c r="C9" s="29">
        <v>6773.04</v>
      </c>
      <c r="D9" s="29">
        <v>19206.990234000001</v>
      </c>
      <c r="E9" s="29">
        <v>11966.169921999999</v>
      </c>
      <c r="F9" s="29">
        <v>5033.6401370000003</v>
      </c>
      <c r="G9" s="29">
        <v>14902.400390999999</v>
      </c>
      <c r="H9" s="29">
        <v>21860.52</v>
      </c>
      <c r="I9" s="30">
        <f t="shared" si="6"/>
        <v>-1.7396106913756221E-2</v>
      </c>
      <c r="J9" s="30">
        <f t="shared" si="5"/>
        <v>-2.4993306135610481E-2</v>
      </c>
      <c r="K9" s="30">
        <f t="shared" si="5"/>
        <v>2.1760405283927038E-2</v>
      </c>
      <c r="L9" s="30">
        <f t="shared" si="5"/>
        <v>4.9511190324589012E-2</v>
      </c>
      <c r="M9" s="30">
        <f t="shared" si="5"/>
        <v>1.6593050427722876E-2</v>
      </c>
      <c r="N9" s="30">
        <f t="shared" si="5"/>
        <v>-2.1786325479236642E-2</v>
      </c>
      <c r="O9" s="30">
        <f t="shared" si="5"/>
        <v>7.9716336717285993E-2</v>
      </c>
      <c r="R9" s="5" t="s">
        <v>3</v>
      </c>
      <c r="S9" s="24">
        <v>9.4943530842300458E-4</v>
      </c>
      <c r="T9" s="24">
        <v>6.3551579163590409E-4</v>
      </c>
      <c r="U9" s="24">
        <v>2.1681100593635085E-3</v>
      </c>
      <c r="V9" s="24">
        <v>1.6997542083592981E-3</v>
      </c>
      <c r="W9" s="24">
        <v>1.4207487240470303E-3</v>
      </c>
      <c r="X9" s="24">
        <v>6.0314457437119265E-4</v>
      </c>
      <c r="Y9" s="24">
        <v>1.5810976540833377E-3</v>
      </c>
      <c r="AA9" s="7" t="s">
        <v>6</v>
      </c>
      <c r="AB9" s="6">
        <v>-5.3056117649307915</v>
      </c>
      <c r="AC9" s="20">
        <v>3.3399999999999999E-2</v>
      </c>
      <c r="AD9" s="20">
        <v>0.19470950425382996</v>
      </c>
    </row>
    <row r="10" spans="1:30" customFormat="1" x14ac:dyDescent="0.2">
      <c r="A10" s="28">
        <v>42095</v>
      </c>
      <c r="B10" s="29">
        <v>2085.51001</v>
      </c>
      <c r="C10" s="29">
        <v>6960.63</v>
      </c>
      <c r="D10" s="29">
        <v>19520.009765999999</v>
      </c>
      <c r="E10" s="29">
        <v>11454.379883</v>
      </c>
      <c r="F10" s="29">
        <v>5046.4902339999999</v>
      </c>
      <c r="G10" s="29">
        <v>15224.5</v>
      </c>
      <c r="H10" s="29">
        <v>22725.83</v>
      </c>
      <c r="I10" s="30">
        <f t="shared" si="6"/>
        <v>8.5208197301247391E-3</v>
      </c>
      <c r="J10" s="30">
        <f t="shared" si="5"/>
        <v>2.7696573473654392E-2</v>
      </c>
      <c r="K10" s="30">
        <f t="shared" si="5"/>
        <v>1.6297167238930269E-2</v>
      </c>
      <c r="L10" s="30">
        <f t="shared" si="5"/>
        <v>-4.2769745234777688E-2</v>
      </c>
      <c r="M10" s="30">
        <f t="shared" si="5"/>
        <v>2.5528437969858692E-3</v>
      </c>
      <c r="N10" s="30">
        <f t="shared" si="5"/>
        <v>2.1613941415406224E-2</v>
      </c>
      <c r="O10" s="30">
        <f t="shared" si="5"/>
        <v>3.9583230408059888E-2</v>
      </c>
      <c r="R10" s="5" t="s">
        <v>4</v>
      </c>
      <c r="S10" s="24">
        <v>9.0822358252816838E-4</v>
      </c>
      <c r="T10" s="24">
        <v>8.8592511903730039E-4</v>
      </c>
      <c r="U10" s="24">
        <v>1.6997542083592981E-3</v>
      </c>
      <c r="V10" s="24">
        <v>2.2454130653779829E-3</v>
      </c>
      <c r="W10" s="24">
        <v>1.7781620667816538E-3</v>
      </c>
      <c r="X10" s="24">
        <v>6.3977366605062432E-4</v>
      </c>
      <c r="Y10" s="24">
        <v>1.5178792567373549E-3</v>
      </c>
      <c r="AA10" s="7" t="s">
        <v>7</v>
      </c>
      <c r="AB10" s="6">
        <v>-0.73113484684011032</v>
      </c>
      <c r="AC10" s="20">
        <v>3.0499999999999999E-2</v>
      </c>
      <c r="AD10" s="20">
        <v>7.0370030007712026E-2</v>
      </c>
    </row>
    <row r="11" spans="1:30" customFormat="1" x14ac:dyDescent="0.2">
      <c r="A11" s="28">
        <v>42125</v>
      </c>
      <c r="B11" s="29">
        <v>2107.389893</v>
      </c>
      <c r="C11" s="29">
        <v>6984.43</v>
      </c>
      <c r="D11" s="29">
        <v>20563.150390999999</v>
      </c>
      <c r="E11" s="29">
        <v>11413.820313</v>
      </c>
      <c r="F11" s="29">
        <v>5007.8901370000003</v>
      </c>
      <c r="G11" s="29">
        <v>15014.099609000001</v>
      </c>
      <c r="H11" s="29">
        <v>22296.58</v>
      </c>
      <c r="I11" s="30">
        <f t="shared" si="6"/>
        <v>1.0491382393316857E-2</v>
      </c>
      <c r="J11" s="30">
        <f t="shared" si="5"/>
        <v>3.4192307305517147E-3</v>
      </c>
      <c r="K11" s="30">
        <f t="shared" si="5"/>
        <v>5.3439554462567172E-2</v>
      </c>
      <c r="L11" s="30">
        <f t="shared" si="5"/>
        <v>-3.5409660247252548E-3</v>
      </c>
      <c r="M11" s="30">
        <f t="shared" si="5"/>
        <v>-7.6488995737942714E-3</v>
      </c>
      <c r="N11" s="30">
        <f t="shared" si="5"/>
        <v>-1.3819855561758956E-2</v>
      </c>
      <c r="O11" s="30">
        <f t="shared" si="5"/>
        <v>-1.8888199022873971E-2</v>
      </c>
      <c r="R11" s="5" t="s">
        <v>5</v>
      </c>
      <c r="S11" s="24">
        <v>7.6392335088445627E-4</v>
      </c>
      <c r="T11" s="24">
        <v>8.1085137676170226E-4</v>
      </c>
      <c r="U11" s="24">
        <v>1.4207487240470303E-3</v>
      </c>
      <c r="V11" s="24">
        <v>1.7781620667816538E-3</v>
      </c>
      <c r="W11" s="24">
        <v>1.701019271940687E-3</v>
      </c>
      <c r="X11" s="24">
        <v>5.6193424522961585E-4</v>
      </c>
      <c r="Y11" s="24">
        <v>1.1416195471287171E-3</v>
      </c>
    </row>
    <row r="12" spans="1:30" customFormat="1" x14ac:dyDescent="0.2">
      <c r="A12" s="28">
        <v>42156</v>
      </c>
      <c r="B12" s="29">
        <v>2063.110107</v>
      </c>
      <c r="C12" s="29">
        <v>6520.98</v>
      </c>
      <c r="D12" s="29">
        <v>20235.730468999998</v>
      </c>
      <c r="E12" s="29">
        <v>10944.969727</v>
      </c>
      <c r="F12" s="29">
        <v>4790.2001950000003</v>
      </c>
      <c r="G12" s="29">
        <v>14553.299805000001</v>
      </c>
      <c r="H12" s="29">
        <v>21855.05</v>
      </c>
      <c r="I12" s="30">
        <f t="shared" si="6"/>
        <v>-2.1011672375900521E-2</v>
      </c>
      <c r="J12" s="30">
        <f t="shared" si="5"/>
        <v>-6.6354734745713059E-2</v>
      </c>
      <c r="K12" s="30">
        <f t="shared" si="5"/>
        <v>-1.592265366805394E-2</v>
      </c>
      <c r="L12" s="30">
        <f t="shared" si="5"/>
        <v>-4.107744586323947E-2</v>
      </c>
      <c r="M12" s="30">
        <f t="shared" si="5"/>
        <v>-4.3469392507561704E-2</v>
      </c>
      <c r="N12" s="30">
        <f t="shared" si="5"/>
        <v>-3.0691138063569257E-2</v>
      </c>
      <c r="O12" s="30">
        <f t="shared" si="5"/>
        <v>-1.9802588558424764E-2</v>
      </c>
      <c r="R12" s="5" t="s">
        <v>6</v>
      </c>
      <c r="S12" s="24">
        <v>4.6737970863708301E-4</v>
      </c>
      <c r="T12" s="24">
        <v>4.3110418489363201E-4</v>
      </c>
      <c r="U12" s="24">
        <v>6.0314457437119265E-4</v>
      </c>
      <c r="V12" s="24">
        <v>6.3977366605062432E-4</v>
      </c>
      <c r="W12" s="24">
        <v>5.6193424522961585E-4</v>
      </c>
      <c r="X12" s="24">
        <v>5.0085958586273916E-4</v>
      </c>
      <c r="Y12" s="24">
        <v>4.7188364433277136E-4</v>
      </c>
      <c r="AA12" s="7" t="s">
        <v>19</v>
      </c>
      <c r="AB12" s="18">
        <f>SUM(AB4:AB10)</f>
        <v>1.0000000000000004</v>
      </c>
      <c r="AC12" s="18">
        <f t="shared" ref="AC12:AD12" si="7">SUM(AC4:AC10)</f>
        <v>1</v>
      </c>
      <c r="AD12" s="18">
        <f t="shared" si="7"/>
        <v>0.99999999999999989</v>
      </c>
    </row>
    <row r="13" spans="1:30" customFormat="1" x14ac:dyDescent="0.2">
      <c r="A13" s="28">
        <v>42186</v>
      </c>
      <c r="B13" s="29">
        <v>2103.8400879999999</v>
      </c>
      <c r="C13" s="29">
        <v>6696.28</v>
      </c>
      <c r="D13" s="29">
        <v>20585.240234000001</v>
      </c>
      <c r="E13" s="29">
        <v>11308.990234000001</v>
      </c>
      <c r="F13" s="29">
        <v>5082.6098629999997</v>
      </c>
      <c r="G13" s="29">
        <v>14468.400390999999</v>
      </c>
      <c r="H13" s="29">
        <v>20937.34</v>
      </c>
      <c r="I13" s="30">
        <f t="shared" si="6"/>
        <v>1.9742029696721345E-2</v>
      </c>
      <c r="J13" s="30">
        <f t="shared" si="5"/>
        <v>2.6882462451962772E-2</v>
      </c>
      <c r="K13" s="30">
        <f t="shared" si="5"/>
        <v>1.727191244889488E-2</v>
      </c>
      <c r="L13" s="30">
        <f t="shared" si="5"/>
        <v>3.3259160699367102E-2</v>
      </c>
      <c r="M13" s="30">
        <f t="shared" si="5"/>
        <v>6.1043308441516883E-2</v>
      </c>
      <c r="N13" s="30">
        <f t="shared" si="5"/>
        <v>-5.8336882451107686E-3</v>
      </c>
      <c r="O13" s="30">
        <f t="shared" si="5"/>
        <v>-4.1990752709328012E-2</v>
      </c>
      <c r="R13" s="5" t="s">
        <v>7</v>
      </c>
      <c r="S13" s="24">
        <v>6.989259198693443E-4</v>
      </c>
      <c r="T13" s="24">
        <v>4.5041388626012262E-4</v>
      </c>
      <c r="U13" s="24">
        <v>1.5810976540833377E-3</v>
      </c>
      <c r="V13" s="24">
        <v>1.5178792567373549E-3</v>
      </c>
      <c r="W13" s="24">
        <v>1.1416195471287171E-3</v>
      </c>
      <c r="X13" s="24">
        <v>4.7188364433277136E-4</v>
      </c>
      <c r="Y13" s="24">
        <v>2.8678061858439536E-3</v>
      </c>
    </row>
    <row r="14" spans="1:30" customFormat="1" x14ac:dyDescent="0.2">
      <c r="A14" s="28">
        <v>42217</v>
      </c>
      <c r="B14" s="29">
        <v>1972.1800539999999</v>
      </c>
      <c r="C14" s="29">
        <v>6247.94</v>
      </c>
      <c r="D14" s="29">
        <v>18890.480468999998</v>
      </c>
      <c r="E14" s="29">
        <v>10315.620117</v>
      </c>
      <c r="F14" s="29">
        <v>4652.9501950000003</v>
      </c>
      <c r="G14" s="29">
        <v>13859.099609000001</v>
      </c>
      <c r="H14" s="29">
        <v>20158.22</v>
      </c>
      <c r="I14" s="30">
        <f t="shared" si="6"/>
        <v>-6.2580818167202831E-2</v>
      </c>
      <c r="J14" s="30">
        <f t="shared" si="5"/>
        <v>-6.6953592143697713E-2</v>
      </c>
      <c r="K14" s="30">
        <f t="shared" si="5"/>
        <v>-8.2328879611558797E-2</v>
      </c>
      <c r="L14" s="30">
        <f t="shared" si="5"/>
        <v>-8.7838975580107517E-2</v>
      </c>
      <c r="M14" s="30">
        <f t="shared" si="5"/>
        <v>-8.4535244604903359E-2</v>
      </c>
      <c r="N14" s="30">
        <f t="shared" si="5"/>
        <v>-4.2112518698266821E-2</v>
      </c>
      <c r="O14" s="30">
        <f t="shared" si="5"/>
        <v>-3.7211985858757561E-2</v>
      </c>
      <c r="AA14" s="3">
        <v>43405</v>
      </c>
      <c r="AB14" s="19" cm="1">
        <f t="array" ref="AB14">MMULT($I53:$O53,AB$4:AB$10)</f>
        <v>5.6309274077836882E-2</v>
      </c>
      <c r="AC14" s="19" cm="1">
        <f t="array" ref="AC14">MMULT($I53:$O53,AC$4:AC$10)</f>
        <v>9.6596534645052544E-3</v>
      </c>
      <c r="AD14" s="19" cm="1">
        <f t="array" ref="AD14">MMULT($I53:$O53,AD$4:AD$10)</f>
        <v>9.6023249877147127E-3</v>
      </c>
    </row>
    <row r="15" spans="1:30" customFormat="1" x14ac:dyDescent="0.2">
      <c r="A15" s="28">
        <v>42248</v>
      </c>
      <c r="B15" s="29">
        <v>1920.030029</v>
      </c>
      <c r="C15" s="29">
        <v>6061.61</v>
      </c>
      <c r="D15" s="29">
        <v>17388.150390999999</v>
      </c>
      <c r="E15" s="29">
        <v>9660.4404300000006</v>
      </c>
      <c r="F15" s="29">
        <v>4455.2900390000004</v>
      </c>
      <c r="G15" s="29">
        <v>13307</v>
      </c>
      <c r="H15" s="29">
        <v>20476.48</v>
      </c>
      <c r="I15" s="30">
        <f t="shared" si="6"/>
        <v>-2.6442831573227094E-2</v>
      </c>
      <c r="J15" s="30">
        <f t="shared" si="5"/>
        <v>-2.9822629538695945E-2</v>
      </c>
      <c r="K15" s="30">
        <f t="shared" si="5"/>
        <v>-7.9528420701918109E-2</v>
      </c>
      <c r="L15" s="30">
        <f t="shared" si="5"/>
        <v>-6.3513359310340703E-2</v>
      </c>
      <c r="M15" s="30">
        <f t="shared" si="5"/>
        <v>-4.2480608585151618E-2</v>
      </c>
      <c r="N15" s="30">
        <f t="shared" si="5"/>
        <v>-3.9836614540346559E-2</v>
      </c>
      <c r="O15" s="30">
        <f t="shared" si="5"/>
        <v>1.5788100338224226E-2</v>
      </c>
      <c r="R15" s="7" t="s">
        <v>22</v>
      </c>
      <c r="S15" s="10">
        <v>0</v>
      </c>
      <c r="T15" s="6"/>
      <c r="AA15" s="3">
        <v>43435</v>
      </c>
      <c r="AB15" s="19" cm="1">
        <f t="array" ref="AB15">MMULT($I54:$O54,AB$4:AB$10)</f>
        <v>-0.31978448652630842</v>
      </c>
      <c r="AC15" s="19" cm="1">
        <f t="array" ref="AC15">MMULT($I54:$O54,AC$4:AC$10)</f>
        <v>-8.0988229354860025E-2</v>
      </c>
      <c r="AD15" s="19" cm="1">
        <f t="array" ref="AD15">MMULT($I54:$O54,AD$4:AD$10)</f>
        <v>-7.4640325490538145E-2</v>
      </c>
    </row>
    <row r="16" spans="1:30" customFormat="1" x14ac:dyDescent="0.2">
      <c r="A16" s="28">
        <v>42278</v>
      </c>
      <c r="B16" s="29">
        <v>2079.360107</v>
      </c>
      <c r="C16" s="29">
        <v>6361.09</v>
      </c>
      <c r="D16" s="29">
        <v>19083.099609000001</v>
      </c>
      <c r="E16" s="29">
        <v>10850.139648</v>
      </c>
      <c r="F16" s="29">
        <v>4897.6601559999999</v>
      </c>
      <c r="G16" s="29">
        <v>13529.200194999999</v>
      </c>
      <c r="H16" s="29">
        <v>21052.48</v>
      </c>
      <c r="I16" s="30">
        <f t="shared" si="6"/>
        <v>8.2983117760394132E-2</v>
      </c>
      <c r="J16" s="30">
        <f t="shared" si="5"/>
        <v>4.9406015893467325E-2</v>
      </c>
      <c r="K16" s="30">
        <f t="shared" si="5"/>
        <v>9.7477257781097698E-2</v>
      </c>
      <c r="L16" s="30">
        <f t="shared" si="5"/>
        <v>0.12315165407008256</v>
      </c>
      <c r="M16" s="30">
        <f t="shared" si="5"/>
        <v>9.9290980638219103E-2</v>
      </c>
      <c r="N16" s="30">
        <f t="shared" si="5"/>
        <v>1.669799316149391E-2</v>
      </c>
      <c r="O16" s="30">
        <f t="shared" si="5"/>
        <v>2.8129834815358891E-2</v>
      </c>
      <c r="AA16" s="3">
        <v>43466</v>
      </c>
      <c r="AB16" s="19" cm="1">
        <f t="array" ref="AB16">MMULT($I55:$O55,AB$4:AB$10)</f>
        <v>4.463898951219291E-2</v>
      </c>
      <c r="AC16" s="19" cm="1">
        <f t="array" ref="AC16">MMULT($I55:$O55,AC$4:AC$10)</f>
        <v>6.4686455930415068E-2</v>
      </c>
      <c r="AD16" s="19" cm="1">
        <f t="array" ref="AD16">MMULT($I55:$O55,AD$4:AD$10)</f>
        <v>6.5226500731773621E-2</v>
      </c>
    </row>
    <row r="17" spans="1:30" customFormat="1" x14ac:dyDescent="0.2">
      <c r="A17" s="28">
        <v>42309</v>
      </c>
      <c r="B17" s="29">
        <v>2080.4099120000001</v>
      </c>
      <c r="C17" s="29">
        <v>6356.09</v>
      </c>
      <c r="D17" s="29">
        <v>19747.470702999999</v>
      </c>
      <c r="E17" s="29">
        <v>11382.230469</v>
      </c>
      <c r="F17" s="29">
        <v>4957.6000979999999</v>
      </c>
      <c r="G17" s="29">
        <v>13469.799805000001</v>
      </c>
      <c r="H17" s="29">
        <v>21572.63</v>
      </c>
      <c r="I17" s="30">
        <f t="shared" si="6"/>
        <v>5.0486926072401835E-4</v>
      </c>
      <c r="J17" s="30">
        <f t="shared" si="5"/>
        <v>-7.8602880952792682E-4</v>
      </c>
      <c r="K17" s="30">
        <f t="shared" si="5"/>
        <v>3.4814632193538753E-2</v>
      </c>
      <c r="L17" s="30">
        <f t="shared" si="5"/>
        <v>4.9039997480408444E-2</v>
      </c>
      <c r="M17" s="30">
        <f t="shared" si="5"/>
        <v>1.2238485336016845E-2</v>
      </c>
      <c r="N17" s="30">
        <f t="shared" si="5"/>
        <v>-4.3905322667892478E-3</v>
      </c>
      <c r="O17" s="30">
        <f t="shared" si="5"/>
        <v>2.4707302892580895E-2</v>
      </c>
      <c r="R17" s="12" t="s">
        <v>23</v>
      </c>
      <c r="AA17" s="3">
        <v>43497</v>
      </c>
      <c r="AB17" s="19" cm="1">
        <f t="array" ref="AB17">MMULT($I56:$O56,AB$4:AB$10)</f>
        <v>5.2792366433468338E-3</v>
      </c>
      <c r="AC17" s="19" cm="1">
        <f t="array" ref="AC17">MMULT($I56:$O56,AC$4:AC$10)</f>
        <v>3.0703954785959199E-2</v>
      </c>
      <c r="AD17" s="19" cm="1">
        <f t="array" ref="AD17">MMULT($I56:$O56,AD$4:AD$10)</f>
        <v>3.2457624355263719E-2</v>
      </c>
    </row>
    <row r="18" spans="1:30" customFormat="1" x14ac:dyDescent="0.2">
      <c r="A18" s="28">
        <v>42339</v>
      </c>
      <c r="B18" s="29">
        <v>2043.9399410000001</v>
      </c>
      <c r="C18" s="29">
        <v>6242.32</v>
      </c>
      <c r="D18" s="29">
        <v>19033.710938</v>
      </c>
      <c r="E18" s="29">
        <v>10743.009765999999</v>
      </c>
      <c r="F18" s="29">
        <v>4637.0600590000004</v>
      </c>
      <c r="G18" s="29">
        <v>13010</v>
      </c>
      <c r="H18" s="29">
        <v>20506.560000000001</v>
      </c>
      <c r="I18" s="30">
        <f t="shared" si="6"/>
        <v>-1.7530185176314418E-2</v>
      </c>
      <c r="J18" s="30">
        <f t="shared" si="5"/>
        <v>-1.7899368951666893E-2</v>
      </c>
      <c r="K18" s="30">
        <f t="shared" si="5"/>
        <v>-3.6144363788906182E-2</v>
      </c>
      <c r="L18" s="30">
        <f t="shared" si="5"/>
        <v>-5.6159529078324874E-2</v>
      </c>
      <c r="M18" s="30">
        <f t="shared" si="5"/>
        <v>-6.4656291887946374E-2</v>
      </c>
      <c r="N18" s="30">
        <f t="shared" si="5"/>
        <v>-3.4135607927099444E-2</v>
      </c>
      <c r="O18" s="30">
        <f t="shared" si="5"/>
        <v>-4.9417711238731656E-2</v>
      </c>
      <c r="AA18" s="3">
        <v>43525</v>
      </c>
      <c r="AB18" s="19" cm="1">
        <f t="array" ref="AB18">MMULT($I57:$O57,AB$4:AB$10)</f>
        <v>2.7021203873174714E-2</v>
      </c>
      <c r="AC18" s="19" cm="1">
        <f t="array" ref="AC18">MMULT($I57:$O57,AC$4:AC$10)</f>
        <v>1.5902446440167653E-2</v>
      </c>
      <c r="AD18" s="19" cm="1">
        <f t="array" ref="AD18">MMULT($I57:$O57,AD$4:AD$10)</f>
        <v>1.6264252111541335E-2</v>
      </c>
    </row>
    <row r="19" spans="1:30" customFormat="1" x14ac:dyDescent="0.2">
      <c r="A19" s="28">
        <v>42370</v>
      </c>
      <c r="B19" s="29">
        <v>1940.23999</v>
      </c>
      <c r="C19" s="29">
        <v>6083.79</v>
      </c>
      <c r="D19" s="29">
        <v>17518.300781000002</v>
      </c>
      <c r="E19" s="29">
        <v>9798.1103519999997</v>
      </c>
      <c r="F19" s="29">
        <v>4417.0200199999999</v>
      </c>
      <c r="G19" s="29">
        <v>12822.099609000001</v>
      </c>
      <c r="H19" s="29">
        <v>17836.03</v>
      </c>
      <c r="I19" s="30">
        <f t="shared" si="6"/>
        <v>-5.073532197294639E-2</v>
      </c>
      <c r="J19" s="30">
        <f t="shared" si="5"/>
        <v>-2.5396006612925924E-2</v>
      </c>
      <c r="K19" s="30">
        <f t="shared" si="5"/>
        <v>-7.9617167768085945E-2</v>
      </c>
      <c r="L19" s="30">
        <f t="shared" si="5"/>
        <v>-8.7954812904523574E-2</v>
      </c>
      <c r="M19" s="30">
        <f t="shared" si="5"/>
        <v>-4.7452488473365362E-2</v>
      </c>
      <c r="N19" s="30">
        <f t="shared" si="5"/>
        <v>-1.4442766410453438E-2</v>
      </c>
      <c r="O19" s="30">
        <f t="shared" si="5"/>
        <v>-0.13022808311096559</v>
      </c>
      <c r="R19" s="5" t="s">
        <v>1</v>
      </c>
      <c r="S19" s="6">
        <f t="array" ref="S19:S25">MMULT(MINVERSE(S7:Y13),(TRANSPOSE(S3:Y3)-S15))/SUM(MMULT(MINVERSE(S7:Y13),(TRANSPOSE(S3:Y3)-S15)))</f>
        <v>5.6360862893611774</v>
      </c>
      <c r="W19" s="1"/>
      <c r="X19" s="6"/>
      <c r="AA19" s="3">
        <v>43556</v>
      </c>
      <c r="AB19" s="19" cm="1">
        <f t="array" ref="AB19">MMULT($I58:$O58,AB$4:AB$10)</f>
        <v>8.6221010340068988E-2</v>
      </c>
      <c r="AC19" s="19" cm="1">
        <f t="array" ref="AC19">MMULT($I58:$O58,AC$4:AC$10)</f>
        <v>4.0335784071792023E-2</v>
      </c>
      <c r="AD19" s="19" cm="1">
        <f t="array" ref="AD19">MMULT($I58:$O58,AD$4:AD$10)</f>
        <v>3.8868183888021546E-2</v>
      </c>
    </row>
    <row r="20" spans="1:30" customFormat="1" x14ac:dyDescent="0.2">
      <c r="A20" s="28">
        <v>42401</v>
      </c>
      <c r="B20" s="29">
        <v>1932.2299800000001</v>
      </c>
      <c r="C20" s="29">
        <v>6097.09</v>
      </c>
      <c r="D20" s="29">
        <v>16026.759765999999</v>
      </c>
      <c r="E20" s="29">
        <v>9495.4003909999992</v>
      </c>
      <c r="F20" s="29">
        <v>4353.5498049999997</v>
      </c>
      <c r="G20" s="29">
        <v>12860.400390999999</v>
      </c>
      <c r="H20" s="29">
        <v>15773</v>
      </c>
      <c r="I20" s="30">
        <f t="shared" si="6"/>
        <v>-4.1283604302991229E-3</v>
      </c>
      <c r="J20" s="30">
        <f t="shared" si="5"/>
        <v>2.1861372598331276E-3</v>
      </c>
      <c r="K20" s="30">
        <f t="shared" si="5"/>
        <v>-8.5141877265727625E-2</v>
      </c>
      <c r="L20" s="30">
        <f t="shared" si="5"/>
        <v>-3.0894728690028586E-2</v>
      </c>
      <c r="M20" s="30">
        <f t="shared" si="5"/>
        <v>-1.4369465094704343E-2</v>
      </c>
      <c r="N20" s="30">
        <f t="shared" si="5"/>
        <v>2.9870912851990799E-3</v>
      </c>
      <c r="O20" s="30">
        <f t="shared" si="5"/>
        <v>-0.11566643473912069</v>
      </c>
      <c r="R20" s="5" t="s">
        <v>2</v>
      </c>
      <c r="S20" s="6">
        <v>0.12945102185673413</v>
      </c>
      <c r="W20" s="1"/>
      <c r="X20" s="6"/>
      <c r="AA20" s="3">
        <v>43586</v>
      </c>
      <c r="AB20" s="19" cm="1">
        <f t="array" ref="AB20">MMULT($I59:$O59,AB$4:AB$10)</f>
        <v>-0.23847111500316701</v>
      </c>
      <c r="AC20" s="19" cm="1">
        <f t="array" ref="AC20">MMULT($I59:$O59,AC$4:AC$10)</f>
        <v>-6.2475020575670982E-2</v>
      </c>
      <c r="AD20" s="19" cm="1">
        <f t="array" ref="AD20">MMULT($I59:$O59,AD$4:AD$10)</f>
        <v>-5.8511552956164385E-2</v>
      </c>
    </row>
    <row r="21" spans="1:30" customFormat="1" x14ac:dyDescent="0.2">
      <c r="A21" s="28">
        <v>42430</v>
      </c>
      <c r="B21" s="29">
        <v>2059.73999</v>
      </c>
      <c r="C21" s="29">
        <v>6174.9</v>
      </c>
      <c r="D21" s="29">
        <v>16758.669922000001</v>
      </c>
      <c r="E21" s="29">
        <v>9965.5097659999992</v>
      </c>
      <c r="F21" s="29">
        <v>4385.0600590000004</v>
      </c>
      <c r="G21" s="29">
        <v>13494.400390999999</v>
      </c>
      <c r="H21" s="29">
        <v>17533.75</v>
      </c>
      <c r="I21" s="30">
        <f t="shared" si="6"/>
        <v>6.5991114577365145E-2</v>
      </c>
      <c r="J21" s="30">
        <f t="shared" si="6"/>
        <v>1.2761825723418793E-2</v>
      </c>
      <c r="K21" s="30">
        <f t="shared" si="6"/>
        <v>4.5668005678397572E-2</v>
      </c>
      <c r="L21" s="30">
        <f t="shared" si="6"/>
        <v>4.9509168191115199E-2</v>
      </c>
      <c r="M21" s="30">
        <f t="shared" si="6"/>
        <v>7.2378301412359099E-3</v>
      </c>
      <c r="N21" s="30">
        <f t="shared" si="6"/>
        <v>4.929862062799286E-2</v>
      </c>
      <c r="O21" s="30">
        <f t="shared" si="6"/>
        <v>0.11163063462879605</v>
      </c>
      <c r="R21" s="5" t="s">
        <v>3</v>
      </c>
      <c r="S21" s="6">
        <v>1.1512241192140131</v>
      </c>
      <c r="W21" s="1"/>
      <c r="X21" s="6"/>
      <c r="AA21" s="3">
        <v>43617</v>
      </c>
      <c r="AB21" s="19" cm="1">
        <f t="array" ref="AB21">MMULT($I60:$O60,AB$4:AB$10)</f>
        <v>0.32428329719970161</v>
      </c>
      <c r="AC21" s="19" cm="1">
        <f t="array" ref="AC21">MMULT($I60:$O60,AC$4:AC$10)</f>
        <v>5.6616797082283947E-2</v>
      </c>
      <c r="AD21" s="19" cm="1">
        <f t="array" ref="AD21">MMULT($I60:$O60,AD$4:AD$10)</f>
        <v>4.8208820449184432E-2</v>
      </c>
    </row>
    <row r="22" spans="1:30" customFormat="1" x14ac:dyDescent="0.2">
      <c r="A22" s="28">
        <v>42461</v>
      </c>
      <c r="B22" s="29">
        <v>2065.3000489999999</v>
      </c>
      <c r="C22" s="29">
        <v>6241.89</v>
      </c>
      <c r="D22" s="29">
        <v>16666.050781000002</v>
      </c>
      <c r="E22" s="29">
        <v>10038.969727</v>
      </c>
      <c r="F22" s="29">
        <v>4428.9599609999996</v>
      </c>
      <c r="G22" s="29">
        <v>13951.5</v>
      </c>
      <c r="H22" s="29">
        <v>16777.87</v>
      </c>
      <c r="I22" s="30">
        <f t="shared" si="6"/>
        <v>2.6993984808732631E-3</v>
      </c>
      <c r="J22" s="30">
        <f t="shared" si="6"/>
        <v>1.0848758684351275E-2</v>
      </c>
      <c r="K22" s="30">
        <f t="shared" si="6"/>
        <v>-5.5266403259373901E-3</v>
      </c>
      <c r="L22" s="30">
        <f t="shared" si="6"/>
        <v>7.3714203011098108E-3</v>
      </c>
      <c r="M22" s="30">
        <f t="shared" si="6"/>
        <v>1.0011243040992794E-2</v>
      </c>
      <c r="N22" s="30">
        <f t="shared" si="6"/>
        <v>3.3873280453784398E-2</v>
      </c>
      <c r="O22" s="30">
        <f t="shared" si="6"/>
        <v>-4.3110002138732506E-2</v>
      </c>
      <c r="R22" s="5" t="s">
        <v>4</v>
      </c>
      <c r="S22" s="6">
        <v>-0.29900111976791616</v>
      </c>
      <c r="W22" s="1"/>
      <c r="X22" s="6"/>
      <c r="AA22" s="3">
        <v>43647</v>
      </c>
      <c r="AB22" s="19" cm="1">
        <f t="array" ref="AB22">MMULT($I61:$O61,AB$4:AB$10)</f>
        <v>2.4480849939672845E-2</v>
      </c>
      <c r="AC22" s="19" cm="1">
        <f t="array" ref="AC22">MMULT($I61:$O61,AC$4:AC$10)</f>
        <v>1.3092619545411299E-2</v>
      </c>
      <c r="AD22" s="19" cm="1">
        <f t="array" ref="AD22">MMULT($I61:$O61,AD$4:AD$10)</f>
        <v>1.4418843521100832E-2</v>
      </c>
    </row>
    <row r="23" spans="1:30" customFormat="1" x14ac:dyDescent="0.2">
      <c r="A23" s="28">
        <v>42491</v>
      </c>
      <c r="B23" s="29">
        <v>2096.9499510000001</v>
      </c>
      <c r="C23" s="29">
        <v>6230.79</v>
      </c>
      <c r="D23" s="29">
        <v>17234.980468999998</v>
      </c>
      <c r="E23" s="29">
        <v>10262.740234000001</v>
      </c>
      <c r="F23" s="29">
        <v>4505.6201170000004</v>
      </c>
      <c r="G23" s="29">
        <v>14065.799805000001</v>
      </c>
      <c r="H23" s="29">
        <v>17247.62</v>
      </c>
      <c r="I23" s="30">
        <f t="shared" si="6"/>
        <v>1.5324602357572555E-2</v>
      </c>
      <c r="J23" s="30">
        <f t="shared" si="6"/>
        <v>-1.778307531853391E-3</v>
      </c>
      <c r="K23" s="30">
        <f t="shared" si="6"/>
        <v>3.4137042750919749E-2</v>
      </c>
      <c r="L23" s="30">
        <f t="shared" si="6"/>
        <v>2.2290186451919072E-2</v>
      </c>
      <c r="M23" s="30">
        <f t="shared" si="6"/>
        <v>1.7308839247824673E-2</v>
      </c>
      <c r="N23" s="30">
        <f t="shared" si="6"/>
        <v>8.1926534781206727E-3</v>
      </c>
      <c r="O23" s="30">
        <f t="shared" si="6"/>
        <v>2.7998190473522564E-2</v>
      </c>
      <c r="R23" s="5" t="s">
        <v>5</v>
      </c>
      <c r="S23" s="6">
        <v>0.41898630110689433</v>
      </c>
      <c r="W23" s="1"/>
      <c r="X23" s="6"/>
      <c r="AA23" s="3">
        <v>43678</v>
      </c>
      <c r="AB23" s="19" cm="1">
        <f t="array" ref="AB23">MMULT($I62:$O62,AB$4:AB$10)</f>
        <v>-0.11570095523973409</v>
      </c>
      <c r="AC23" s="19" cm="1">
        <f t="array" ref="AC23">MMULT($I62:$O62,AC$4:AC$10)</f>
        <v>-2.3975754731931965E-2</v>
      </c>
      <c r="AD23" s="19" cm="1">
        <f t="array" ref="AD23">MMULT($I62:$O62,AD$4:AD$10)</f>
        <v>-2.1298308533300607E-2</v>
      </c>
    </row>
    <row r="24" spans="1:30" customFormat="1" x14ac:dyDescent="0.2">
      <c r="A24" s="28">
        <v>42522</v>
      </c>
      <c r="B24" s="29">
        <v>2098.860107</v>
      </c>
      <c r="C24" s="29">
        <v>6504.33</v>
      </c>
      <c r="D24" s="29">
        <v>15575.919921999999</v>
      </c>
      <c r="E24" s="29">
        <v>9680.0898440000001</v>
      </c>
      <c r="F24" s="29">
        <v>4237.4799800000001</v>
      </c>
      <c r="G24" s="29">
        <v>14064.5</v>
      </c>
      <c r="H24" s="29">
        <v>15017.42</v>
      </c>
      <c r="I24" s="30">
        <f t="shared" si="6"/>
        <v>9.1092112097811118E-4</v>
      </c>
      <c r="J24" s="30">
        <f t="shared" si="6"/>
        <v>4.3901335143697665E-2</v>
      </c>
      <c r="K24" s="30">
        <f t="shared" si="6"/>
        <v>-9.6261237428385701E-2</v>
      </c>
      <c r="L24" s="30">
        <f t="shared" si="6"/>
        <v>-5.6773374041925562E-2</v>
      </c>
      <c r="M24" s="30">
        <f t="shared" si="6"/>
        <v>-5.9512371224615675E-2</v>
      </c>
      <c r="N24" s="30">
        <f t="shared" si="6"/>
        <v>-9.2408893772149092E-5</v>
      </c>
      <c r="O24" s="30">
        <f t="shared" si="6"/>
        <v>-0.12930479683573728</v>
      </c>
      <c r="R24" s="5" t="s">
        <v>6</v>
      </c>
      <c r="S24" s="6">
        <v>-5.3056117649307915</v>
      </c>
      <c r="W24" s="1"/>
      <c r="X24" s="6"/>
      <c r="AA24" s="3">
        <v>43709</v>
      </c>
      <c r="AB24" s="19" cm="1">
        <f t="array" ref="AB24">MMULT($I63:$O63,AB$4:AB$10)</f>
        <v>4.1463895315389653E-2</v>
      </c>
      <c r="AC24" s="19" cm="1">
        <f t="array" ref="AC24">MMULT($I63:$O63,AC$4:AC$10)</f>
        <v>2.6222990460182821E-2</v>
      </c>
      <c r="AD24" s="19" cm="1">
        <f t="array" ref="AD24">MMULT($I63:$O63,AD$4:AD$10)</f>
        <v>2.6007940921726713E-2</v>
      </c>
    </row>
    <row r="25" spans="1:30" customFormat="1" x14ac:dyDescent="0.2">
      <c r="A25" s="28">
        <v>42552</v>
      </c>
      <c r="B25" s="29">
        <v>2173.6000979999999</v>
      </c>
      <c r="C25" s="29">
        <v>6724.43</v>
      </c>
      <c r="D25" s="29">
        <v>16569.269531000002</v>
      </c>
      <c r="E25" s="29">
        <v>10337.5</v>
      </c>
      <c r="F25" s="29">
        <v>4439.8100590000004</v>
      </c>
      <c r="G25" s="29">
        <v>14582.700194999999</v>
      </c>
      <c r="H25" s="29">
        <v>15293.1</v>
      </c>
      <c r="I25" s="30">
        <f t="shared" si="6"/>
        <v>3.5609801125254283E-2</v>
      </c>
      <c r="J25" s="30">
        <f t="shared" si="6"/>
        <v>3.3838996483880793E-2</v>
      </c>
      <c r="K25" s="30">
        <f t="shared" si="6"/>
        <v>6.377469927775882E-2</v>
      </c>
      <c r="L25" s="30">
        <f t="shared" si="6"/>
        <v>6.7913641980036146E-2</v>
      </c>
      <c r="M25" s="30">
        <f t="shared" si="6"/>
        <v>4.7747736851844733E-2</v>
      </c>
      <c r="N25" s="30">
        <f t="shared" si="6"/>
        <v>3.6844551530448966E-2</v>
      </c>
      <c r="O25" s="30">
        <f t="shared" si="6"/>
        <v>1.8357347666909517E-2</v>
      </c>
      <c r="R25" s="5" t="s">
        <v>7</v>
      </c>
      <c r="S25" s="6">
        <v>-0.73113484684011032</v>
      </c>
      <c r="W25" s="1"/>
      <c r="X25" s="6"/>
      <c r="AA25" s="3">
        <v>43739</v>
      </c>
      <c r="AB25" s="19" cm="1">
        <f t="array" ref="AB25">MMULT($I64:$O64,AB$4:AB$10)</f>
        <v>-6.2971892666969009E-2</v>
      </c>
      <c r="AC25" s="19" cm="1">
        <f t="array" ref="AC25">MMULT($I64:$O64,AC$4:AC$10)</f>
        <v>-2.7997702869388821E-2</v>
      </c>
      <c r="AD25" s="19" cm="1">
        <f t="array" ref="AD25">MMULT($I64:$O64,AD$4:AD$10)</f>
        <v>-2.5900813342905216E-2</v>
      </c>
    </row>
    <row r="26" spans="1:30" customFormat="1" x14ac:dyDescent="0.2">
      <c r="A26" s="28">
        <v>42583</v>
      </c>
      <c r="B26" s="29">
        <v>2170.9499510000001</v>
      </c>
      <c r="C26" s="29">
        <v>6781.51</v>
      </c>
      <c r="D26" s="29">
        <v>16887.400390999999</v>
      </c>
      <c r="E26" s="29">
        <v>10592.690430000001</v>
      </c>
      <c r="F26" s="29">
        <v>4438.2202150000003</v>
      </c>
      <c r="G26" s="29">
        <v>14598</v>
      </c>
      <c r="H26" s="29">
        <v>15978.08</v>
      </c>
      <c r="I26" s="30">
        <f t="shared" si="6"/>
        <v>-1.2192431360480338E-3</v>
      </c>
      <c r="J26" s="30">
        <f t="shared" si="6"/>
        <v>8.4884518092983238E-3</v>
      </c>
      <c r="K26" s="30">
        <f t="shared" si="6"/>
        <v>1.9200053412420856E-2</v>
      </c>
      <c r="L26" s="30">
        <f t="shared" si="6"/>
        <v>2.4685894074969825E-2</v>
      </c>
      <c r="M26" s="30">
        <f t="shared" si="6"/>
        <v>-3.5808829181268459E-4</v>
      </c>
      <c r="N26" s="30">
        <f t="shared" si="6"/>
        <v>1.0491750358583409E-3</v>
      </c>
      <c r="O26" s="30">
        <f t="shared" si="6"/>
        <v>4.4790134112769782E-2</v>
      </c>
    </row>
    <row r="27" spans="1:30" customFormat="1" x14ac:dyDescent="0.2">
      <c r="A27" s="28">
        <v>42614</v>
      </c>
      <c r="B27" s="29">
        <v>2168.2700199999999</v>
      </c>
      <c r="C27" s="29">
        <v>6899.33</v>
      </c>
      <c r="D27" s="29">
        <v>16449.839843999998</v>
      </c>
      <c r="E27" s="29">
        <v>10511.019531</v>
      </c>
      <c r="F27" s="29">
        <v>4448.2597660000001</v>
      </c>
      <c r="G27" s="29">
        <v>14725.900390999999</v>
      </c>
      <c r="H27" s="29">
        <v>15922.35</v>
      </c>
      <c r="I27" s="30">
        <f t="shared" si="6"/>
        <v>-1.2344508443253945E-3</v>
      </c>
      <c r="J27" s="30">
        <f t="shared" si="6"/>
        <v>1.7373711754461722E-2</v>
      </c>
      <c r="K27" s="30">
        <f t="shared" si="6"/>
        <v>-2.5910473895863526E-2</v>
      </c>
      <c r="L27" s="30">
        <f t="shared" si="6"/>
        <v>-7.7101185520061155E-3</v>
      </c>
      <c r="M27" s="30">
        <f t="shared" si="6"/>
        <v>2.2620668902522778E-3</v>
      </c>
      <c r="N27" s="30">
        <f t="shared" si="6"/>
        <v>8.7615009590354311E-3</v>
      </c>
      <c r="O27" s="30">
        <f t="shared" si="6"/>
        <v>-3.4879034276959161E-3</v>
      </c>
      <c r="R27" s="5" t="s">
        <v>19</v>
      </c>
      <c r="S27" s="9">
        <f t="array" ref="S27">SUM(S19:S25)</f>
        <v>1.0000000000000004</v>
      </c>
      <c r="T27" s="9"/>
      <c r="X27" s="9"/>
      <c r="AA27" s="7" t="s">
        <v>40</v>
      </c>
      <c r="AB27" s="20">
        <f>AVERAGE(AB14:AB25)</f>
        <v>-1.0602557711232837E-2</v>
      </c>
      <c r="AC27" s="20">
        <f>AVERAGE(AC14:AC25)</f>
        <v>5.1486661874054563E-3</v>
      </c>
      <c r="AD27" s="20">
        <f t="shared" ref="AD27" si="8">AVERAGE(AD14:AD25)</f>
        <v>5.8919575536182127E-3</v>
      </c>
    </row>
    <row r="28" spans="1:30" customFormat="1" x14ac:dyDescent="0.2">
      <c r="A28" s="28">
        <v>42644</v>
      </c>
      <c r="B28" s="29">
        <v>2126.1499020000001</v>
      </c>
      <c r="C28" s="29">
        <v>6954.22</v>
      </c>
      <c r="D28" s="29">
        <v>17425.019531000002</v>
      </c>
      <c r="E28" s="29">
        <v>10665.009765999999</v>
      </c>
      <c r="F28" s="29">
        <v>4509.2597660000001</v>
      </c>
      <c r="G28" s="29">
        <v>14787.299805000001</v>
      </c>
      <c r="H28" s="29">
        <v>16133.96</v>
      </c>
      <c r="I28" s="30">
        <f t="shared" si="6"/>
        <v>-1.9425679279557545E-2</v>
      </c>
      <c r="J28" s="30">
        <f t="shared" si="6"/>
        <v>7.9558449878466934E-3</v>
      </c>
      <c r="K28" s="30">
        <f t="shared" si="6"/>
        <v>5.928201710460395E-2</v>
      </c>
      <c r="L28" s="30">
        <f t="shared" si="6"/>
        <v>1.4650361417923171E-2</v>
      </c>
      <c r="M28" s="30">
        <f t="shared" si="6"/>
        <v>1.3713227915835704E-2</v>
      </c>
      <c r="N28" s="30">
        <f t="shared" si="6"/>
        <v>4.1694845387876388E-3</v>
      </c>
      <c r="O28" s="30">
        <f t="shared" si="6"/>
        <v>1.3290123631247822E-2</v>
      </c>
      <c r="AA28" s="7" t="s">
        <v>20</v>
      </c>
      <c r="AB28" s="22">
        <f>_xlfn.STDEV.S(AB14:AB25)</f>
        <v>0.16403089112845809</v>
      </c>
      <c r="AC28" s="22">
        <f>_xlfn.STDEV.S(AC14:AC25)</f>
        <v>4.5394824235141441E-2</v>
      </c>
      <c r="AD28" s="22">
        <f t="shared" ref="AD28" si="9">_xlfn.STDEV.S(AD14:AD25)</f>
        <v>4.2732289874244704E-2</v>
      </c>
    </row>
    <row r="29" spans="1:30" customFormat="1" x14ac:dyDescent="0.2">
      <c r="A29" s="28">
        <v>42675</v>
      </c>
      <c r="B29" s="29">
        <v>2198.8100589999999</v>
      </c>
      <c r="C29" s="29">
        <v>6783.79</v>
      </c>
      <c r="D29" s="29">
        <v>18308.480468999998</v>
      </c>
      <c r="E29" s="29">
        <v>10640.299805000001</v>
      </c>
      <c r="F29" s="29">
        <v>4578.3398440000001</v>
      </c>
      <c r="G29" s="29">
        <v>15082.900390999999</v>
      </c>
      <c r="H29" s="29">
        <v>16039.59</v>
      </c>
      <c r="I29" s="30">
        <f t="shared" si="6"/>
        <v>3.4174522187570479E-2</v>
      </c>
      <c r="J29" s="30">
        <f t="shared" si="6"/>
        <v>-2.4507421393053466E-2</v>
      </c>
      <c r="K29" s="30">
        <f t="shared" si="6"/>
        <v>5.0700714362372695E-2</v>
      </c>
      <c r="L29" s="30">
        <f t="shared" si="6"/>
        <v>-2.3169187410192436E-3</v>
      </c>
      <c r="M29" s="30">
        <f t="shared" si="6"/>
        <v>1.5319604898539339E-2</v>
      </c>
      <c r="N29" s="30">
        <f t="shared" si="6"/>
        <v>1.9990166554954666E-2</v>
      </c>
      <c r="O29" s="30">
        <f t="shared" si="6"/>
        <v>-5.8491529667855247E-3</v>
      </c>
      <c r="R29" s="7" t="s">
        <v>24</v>
      </c>
      <c r="AA29" s="7" t="s">
        <v>41</v>
      </c>
      <c r="AB29" s="23">
        <f>(AB27-S15)/AB28</f>
        <v>-6.4637566974684174E-2</v>
      </c>
      <c r="AC29" s="23">
        <f>(AC27-S15)/AC28</f>
        <v>0.1134196744707236</v>
      </c>
      <c r="AD29" s="23">
        <f>(AD27-S15)/AD28</f>
        <v>0.13788068860708003</v>
      </c>
    </row>
    <row r="30" spans="1:30" customFormat="1" x14ac:dyDescent="0.2">
      <c r="A30" s="28">
        <v>42705</v>
      </c>
      <c r="B30" s="29">
        <v>2238.830078</v>
      </c>
      <c r="C30" s="29">
        <v>7142.83</v>
      </c>
      <c r="D30" s="29">
        <v>19114.369140999999</v>
      </c>
      <c r="E30" s="29">
        <v>11481.059569999999</v>
      </c>
      <c r="F30" s="29">
        <v>4862.3100590000004</v>
      </c>
      <c r="G30" s="29">
        <v>15287.599609000001</v>
      </c>
      <c r="H30" s="29">
        <v>16723.18</v>
      </c>
      <c r="I30" s="30">
        <f t="shared" si="6"/>
        <v>1.8200762196895176E-2</v>
      </c>
      <c r="J30" s="30">
        <f t="shared" si="6"/>
        <v>5.2926166641361239E-2</v>
      </c>
      <c r="K30" s="30">
        <f t="shared" si="6"/>
        <v>4.4017234164491985E-2</v>
      </c>
      <c r="L30" s="30">
        <f t="shared" si="6"/>
        <v>7.9016548443956072E-2</v>
      </c>
      <c r="M30" s="30">
        <f t="shared" si="6"/>
        <v>6.2024713034823868E-2</v>
      </c>
      <c r="N30" s="30">
        <f t="shared" si="6"/>
        <v>1.3571608423678648E-2</v>
      </c>
      <c r="O30" s="30">
        <f t="shared" si="6"/>
        <v>4.2618919810294413E-2</v>
      </c>
    </row>
    <row r="31" spans="1:30" customFormat="1" x14ac:dyDescent="0.2">
      <c r="A31" s="28">
        <v>42736</v>
      </c>
      <c r="B31" s="29">
        <v>2278.8701169999999</v>
      </c>
      <c r="C31" s="29">
        <v>7099.15</v>
      </c>
      <c r="D31" s="29">
        <v>19041.339843999998</v>
      </c>
      <c r="E31" s="29">
        <v>11535.309569999999</v>
      </c>
      <c r="F31" s="29">
        <v>4748.8999020000001</v>
      </c>
      <c r="G31" s="29">
        <v>15386</v>
      </c>
      <c r="H31" s="29">
        <v>18523.66</v>
      </c>
      <c r="I31" s="30">
        <f t="shared" si="6"/>
        <v>1.7884358171464578E-2</v>
      </c>
      <c r="J31" s="30">
        <f t="shared" si="6"/>
        <v>-6.1152232378483447E-3</v>
      </c>
      <c r="K31" s="30">
        <f t="shared" si="6"/>
        <v>-3.8206490866263716E-3</v>
      </c>
      <c r="L31" s="30">
        <f t="shared" si="6"/>
        <v>4.7251736365653231E-3</v>
      </c>
      <c r="M31" s="30">
        <f t="shared" si="6"/>
        <v>-2.3324336709067167E-2</v>
      </c>
      <c r="N31" s="30">
        <f t="shared" si="6"/>
        <v>6.4366148719691534E-3</v>
      </c>
      <c r="O31" s="30">
        <f t="shared" si="6"/>
        <v>0.1076637338113923</v>
      </c>
      <c r="R31" s="7" t="s">
        <v>1</v>
      </c>
      <c r="S31" s="6">
        <v>0.60019999999999996</v>
      </c>
      <c r="T31" s="9"/>
    </row>
    <row r="32" spans="1:30" customFormat="1" x14ac:dyDescent="0.2">
      <c r="A32" s="28">
        <v>42767</v>
      </c>
      <c r="B32" s="29">
        <v>2363.639893</v>
      </c>
      <c r="C32" s="29">
        <v>7263.44</v>
      </c>
      <c r="D32" s="29">
        <v>19118.990234000001</v>
      </c>
      <c r="E32" s="29">
        <v>11834.410156</v>
      </c>
      <c r="F32" s="29">
        <v>4858.580078</v>
      </c>
      <c r="G32" s="29">
        <v>15399.200194999999</v>
      </c>
      <c r="H32" s="29">
        <v>18424.310000000001</v>
      </c>
      <c r="I32" s="30">
        <f t="shared" si="6"/>
        <v>3.719816033727915E-2</v>
      </c>
      <c r="J32" s="30">
        <f t="shared" si="6"/>
        <v>2.3142207165646588E-2</v>
      </c>
      <c r="K32" s="30">
        <f t="shared" si="6"/>
        <v>4.0779898177422877E-3</v>
      </c>
      <c r="L32" s="30">
        <f t="shared" si="6"/>
        <v>2.5929133863721743E-2</v>
      </c>
      <c r="M32" s="30">
        <f t="shared" si="6"/>
        <v>2.309591237200178E-2</v>
      </c>
      <c r="N32" s="30">
        <f t="shared" si="6"/>
        <v>8.5793546080849075E-4</v>
      </c>
      <c r="O32" s="30">
        <f t="shared" si="6"/>
        <v>-5.3634109025969242E-3</v>
      </c>
      <c r="R32" s="7" t="s">
        <v>2</v>
      </c>
      <c r="S32" s="6">
        <v>0.1024</v>
      </c>
      <c r="T32" s="9"/>
      <c r="Y32" s="21"/>
      <c r="AC32" s="21"/>
    </row>
    <row r="33" spans="1:29" customFormat="1" x14ac:dyDescent="0.2">
      <c r="A33" s="28">
        <v>42795</v>
      </c>
      <c r="B33" s="29">
        <v>2362.719971</v>
      </c>
      <c r="C33" s="29">
        <v>7322.92</v>
      </c>
      <c r="D33" s="29">
        <v>18909.259765999999</v>
      </c>
      <c r="E33" s="29">
        <v>12312.870117</v>
      </c>
      <c r="F33" s="29">
        <v>5122.5097660000001</v>
      </c>
      <c r="G33" s="29">
        <v>15547.799805000001</v>
      </c>
      <c r="H33" s="29">
        <v>19028.490000000002</v>
      </c>
      <c r="I33" s="30">
        <f t="shared" si="6"/>
        <v>-3.8919718808453973E-4</v>
      </c>
      <c r="J33" s="30">
        <f t="shared" si="6"/>
        <v>8.1889572984702123E-3</v>
      </c>
      <c r="K33" s="30">
        <f t="shared" si="6"/>
        <v>-1.0969746070952543E-2</v>
      </c>
      <c r="L33" s="30">
        <f t="shared" si="6"/>
        <v>4.0429557087593687E-2</v>
      </c>
      <c r="M33" s="30">
        <f t="shared" si="6"/>
        <v>5.4322391267171408E-2</v>
      </c>
      <c r="N33" s="30">
        <f t="shared" si="6"/>
        <v>9.6498264921739407E-3</v>
      </c>
      <c r="O33" s="30">
        <f t="shared" si="6"/>
        <v>3.2792544198398763E-2</v>
      </c>
      <c r="R33" s="7" t="s">
        <v>3</v>
      </c>
      <c r="S33" s="6">
        <v>0.1255</v>
      </c>
      <c r="T33" s="9"/>
      <c r="Y33" s="21"/>
      <c r="AC33" s="21"/>
    </row>
    <row r="34" spans="1:29" customFormat="1" x14ac:dyDescent="0.2">
      <c r="A34" s="28">
        <v>42826</v>
      </c>
      <c r="B34" s="29">
        <v>2384.1999510000001</v>
      </c>
      <c r="C34" s="29">
        <v>7203.94</v>
      </c>
      <c r="D34" s="29">
        <v>19196.740234000001</v>
      </c>
      <c r="E34" s="29">
        <v>12438.009765999999</v>
      </c>
      <c r="F34" s="29">
        <v>5267.330078</v>
      </c>
      <c r="G34" s="29">
        <v>15586.099609000001</v>
      </c>
      <c r="H34" s="29">
        <v>19442.71</v>
      </c>
      <c r="I34" s="30">
        <f t="shared" si="6"/>
        <v>9.0912085493182089E-3</v>
      </c>
      <c r="J34" s="30">
        <f t="shared" si="6"/>
        <v>-1.6247617070786036E-2</v>
      </c>
      <c r="K34" s="30">
        <f t="shared" si="6"/>
        <v>1.520315821758972E-2</v>
      </c>
      <c r="L34" s="30">
        <f t="shared" si="6"/>
        <v>1.0163320802614687E-2</v>
      </c>
      <c r="M34" s="30">
        <f t="shared" si="6"/>
        <v>2.8271358887634736E-2</v>
      </c>
      <c r="N34" s="30">
        <f t="shared" si="6"/>
        <v>2.4633584481634132E-3</v>
      </c>
      <c r="O34" s="30">
        <f t="shared" si="6"/>
        <v>2.1768411471430341E-2</v>
      </c>
      <c r="R34" s="7" t="s">
        <v>4</v>
      </c>
      <c r="S34" s="6">
        <v>5.0500000000000003E-2</v>
      </c>
      <c r="T34" s="9"/>
      <c r="AC34" s="21"/>
    </row>
    <row r="35" spans="1:29" customFormat="1" x14ac:dyDescent="0.2">
      <c r="A35" s="28">
        <v>42856</v>
      </c>
      <c r="B35" s="29">
        <v>2411.8000489999999</v>
      </c>
      <c r="C35" s="29">
        <v>7519.95</v>
      </c>
      <c r="D35" s="29">
        <v>19650.570313</v>
      </c>
      <c r="E35" s="29">
        <v>12615.059569999999</v>
      </c>
      <c r="F35" s="29">
        <v>5283.6298829999996</v>
      </c>
      <c r="G35" s="29">
        <v>15349.900390999999</v>
      </c>
      <c r="H35" s="29">
        <v>20572.22</v>
      </c>
      <c r="I35" s="30">
        <f t="shared" si="6"/>
        <v>1.1576251391341417E-2</v>
      </c>
      <c r="J35" s="30">
        <f t="shared" si="6"/>
        <v>4.3866273178288583E-2</v>
      </c>
      <c r="K35" s="30">
        <f t="shared" si="6"/>
        <v>2.3640997037413961E-2</v>
      </c>
      <c r="L35" s="30">
        <f t="shared" si="6"/>
        <v>1.4234576699238156E-2</v>
      </c>
      <c r="M35" s="30">
        <f t="shared" si="6"/>
        <v>3.0945098861525442E-3</v>
      </c>
      <c r="N35" s="30">
        <f t="shared" si="6"/>
        <v>-1.5154478921949866E-2</v>
      </c>
      <c r="O35" s="30">
        <f t="shared" si="6"/>
        <v>5.8094267722966712E-2</v>
      </c>
      <c r="R35" s="7" t="s">
        <v>5</v>
      </c>
      <c r="S35" s="6">
        <v>5.7500000000000002E-2</v>
      </c>
      <c r="T35" s="9"/>
      <c r="AC35" s="21"/>
    </row>
    <row r="36" spans="1:29" customFormat="1" x14ac:dyDescent="0.2">
      <c r="A36" s="28">
        <v>42887</v>
      </c>
      <c r="B36" s="29">
        <v>2423.4099120000001</v>
      </c>
      <c r="C36" s="29">
        <v>7312.72</v>
      </c>
      <c r="D36" s="29">
        <v>20033.429688</v>
      </c>
      <c r="E36" s="29">
        <v>12325.120117</v>
      </c>
      <c r="F36" s="29">
        <v>5120.6801759999998</v>
      </c>
      <c r="G36" s="29">
        <v>15182.200194999999</v>
      </c>
      <c r="H36" s="29">
        <v>20537.349999999999</v>
      </c>
      <c r="I36" s="30">
        <f t="shared" si="6"/>
        <v>4.8137750908554414E-3</v>
      </c>
      <c r="J36" s="30">
        <f t="shared" si="6"/>
        <v>-2.7557364078218547E-2</v>
      </c>
      <c r="K36" s="30">
        <f t="shared" si="6"/>
        <v>1.9483372182165937E-2</v>
      </c>
      <c r="L36" s="30">
        <f t="shared" si="6"/>
        <v>-2.2983597611342794E-2</v>
      </c>
      <c r="M36" s="30">
        <f t="shared" si="6"/>
        <v>-3.084048478192767E-2</v>
      </c>
      <c r="N36" s="30">
        <f t="shared" si="6"/>
        <v>-1.092516509737915E-2</v>
      </c>
      <c r="O36" s="30">
        <f t="shared" si="6"/>
        <v>-1.6950042338650189E-3</v>
      </c>
      <c r="R36" s="7" t="s">
        <v>6</v>
      </c>
      <c r="S36" s="6">
        <v>3.3399999999999999E-2</v>
      </c>
      <c r="T36" s="9"/>
      <c r="AC36" s="21"/>
    </row>
    <row r="37" spans="1:29" customFormat="1" x14ac:dyDescent="0.2">
      <c r="A37" s="28">
        <v>42917</v>
      </c>
      <c r="B37" s="29">
        <v>2470.3000489999999</v>
      </c>
      <c r="C37" s="29">
        <v>7372</v>
      </c>
      <c r="D37" s="29">
        <v>19925.179688</v>
      </c>
      <c r="E37" s="29">
        <v>12118.25</v>
      </c>
      <c r="F37" s="29">
        <v>5093.7700199999999</v>
      </c>
      <c r="G37" s="29">
        <v>15143.900390999999</v>
      </c>
      <c r="H37" s="29">
        <v>20703.95</v>
      </c>
      <c r="I37" s="30">
        <f t="shared" si="6"/>
        <v>1.9348826118030613E-2</v>
      </c>
      <c r="J37" s="30">
        <f t="shared" si="6"/>
        <v>8.1064227811265491E-3</v>
      </c>
      <c r="K37" s="30">
        <f t="shared" si="6"/>
        <v>-5.4034681872191671E-3</v>
      </c>
      <c r="L37" s="30">
        <f t="shared" si="6"/>
        <v>-1.6784430093680393E-2</v>
      </c>
      <c r="M37" s="30">
        <f t="shared" si="6"/>
        <v>-5.2551917079540558E-3</v>
      </c>
      <c r="N37" s="30">
        <f t="shared" si="6"/>
        <v>-2.5226781038372565E-3</v>
      </c>
      <c r="O37" s="30">
        <f t="shared" si="6"/>
        <v>8.1120495097956741E-3</v>
      </c>
      <c r="R37" s="7" t="s">
        <v>7</v>
      </c>
      <c r="S37" s="6">
        <v>3.0499999999999999E-2</v>
      </c>
      <c r="T37" s="9"/>
      <c r="AC37" s="21"/>
    </row>
    <row r="38" spans="1:29" customFormat="1" x14ac:dyDescent="0.2">
      <c r="A38" s="28">
        <v>42948</v>
      </c>
      <c r="B38" s="29">
        <v>2471.6499020000001</v>
      </c>
      <c r="C38" s="29">
        <v>7430.62</v>
      </c>
      <c r="D38" s="29">
        <v>19646.240234000001</v>
      </c>
      <c r="E38" s="29">
        <v>12055.839844</v>
      </c>
      <c r="F38" s="29">
        <v>5085.5898440000001</v>
      </c>
      <c r="G38" s="29">
        <v>15211.900390999999</v>
      </c>
      <c r="H38" s="29">
        <v>21329.21</v>
      </c>
      <c r="I38" s="30">
        <f t="shared" si="6"/>
        <v>5.4643281108568138E-4</v>
      </c>
      <c r="J38" s="30">
        <f t="shared" si="6"/>
        <v>7.9517091698317818E-3</v>
      </c>
      <c r="K38" s="30">
        <f t="shared" si="6"/>
        <v>-1.3999344466037188E-2</v>
      </c>
      <c r="L38" s="30">
        <f t="shared" si="6"/>
        <v>-5.1500964248138072E-3</v>
      </c>
      <c r="M38" s="30">
        <f t="shared" si="6"/>
        <v>-1.6059178109497465E-3</v>
      </c>
      <c r="N38" s="30">
        <f t="shared" si="6"/>
        <v>4.49025668713539E-3</v>
      </c>
      <c r="O38" s="30">
        <f t="shared" si="6"/>
        <v>3.0200034292973001E-2</v>
      </c>
      <c r="AC38" s="21"/>
    </row>
    <row r="39" spans="1:29" customFormat="1" x14ac:dyDescent="0.2">
      <c r="A39" s="28">
        <v>42979</v>
      </c>
      <c r="B39" s="29">
        <v>2519.360107</v>
      </c>
      <c r="C39" s="29">
        <v>7372.76</v>
      </c>
      <c r="D39" s="29">
        <v>20356.279297000001</v>
      </c>
      <c r="E39" s="29">
        <v>12828.860352</v>
      </c>
      <c r="F39" s="29">
        <v>5329.8100590000004</v>
      </c>
      <c r="G39" s="29">
        <v>15634.900390999999</v>
      </c>
      <c r="H39" s="29">
        <v>21581.89</v>
      </c>
      <c r="I39" s="30">
        <f t="shared" si="6"/>
        <v>1.9302978533243684E-2</v>
      </c>
      <c r="J39" s="30">
        <f t="shared" si="6"/>
        <v>-7.7866988219017627E-3</v>
      </c>
      <c r="K39" s="30">
        <f t="shared" si="6"/>
        <v>3.6141218601775965E-2</v>
      </c>
      <c r="L39" s="30">
        <f t="shared" si="6"/>
        <v>6.4120004744814163E-2</v>
      </c>
      <c r="M39" s="30">
        <f t="shared" si="6"/>
        <v>4.8022003836611461E-2</v>
      </c>
      <c r="N39" s="30">
        <f t="shared" si="6"/>
        <v>2.7807176560942025E-2</v>
      </c>
      <c r="O39" s="30">
        <f t="shared" si="6"/>
        <v>1.1846664738168939E-2</v>
      </c>
      <c r="R39" s="7" t="s">
        <v>19</v>
      </c>
      <c r="S39" s="9">
        <f>SUM(S31:S37)</f>
        <v>1</v>
      </c>
      <c r="T39" s="9"/>
      <c r="AC39" s="21"/>
    </row>
    <row r="40" spans="1:29" customFormat="1" x14ac:dyDescent="0.2">
      <c r="A40" s="28">
        <v>43009</v>
      </c>
      <c r="B40" s="29">
        <v>2575.26001</v>
      </c>
      <c r="C40" s="29">
        <v>7493.08</v>
      </c>
      <c r="D40" s="29">
        <v>22011.609375</v>
      </c>
      <c r="E40" s="29">
        <v>13229.570313</v>
      </c>
      <c r="F40" s="29">
        <v>5503.2900390000004</v>
      </c>
      <c r="G40" s="29">
        <v>16025.599609000001</v>
      </c>
      <c r="H40" s="29">
        <v>22021.02</v>
      </c>
      <c r="I40" s="30">
        <f t="shared" si="6"/>
        <v>2.2188135330349579E-2</v>
      </c>
      <c r="J40" s="30">
        <f t="shared" si="6"/>
        <v>1.6319532983577346E-2</v>
      </c>
      <c r="K40" s="30">
        <f t="shared" si="6"/>
        <v>8.1317909518167822E-2</v>
      </c>
      <c r="L40" s="30">
        <f t="shared" si="6"/>
        <v>3.1235039590833992E-2</v>
      </c>
      <c r="M40" s="30">
        <f t="shared" si="6"/>
        <v>3.2548998572108412E-2</v>
      </c>
      <c r="N40" s="30">
        <f t="shared" si="6"/>
        <v>2.4988916349278557E-2</v>
      </c>
      <c r="O40" s="30">
        <f t="shared" si="6"/>
        <v>2.0347152172492819E-2</v>
      </c>
      <c r="AC40" s="21"/>
    </row>
    <row r="41" spans="1:29" customFormat="1" x14ac:dyDescent="0.2">
      <c r="A41" s="28">
        <v>43040</v>
      </c>
      <c r="B41" s="29">
        <v>2584.8400879999999</v>
      </c>
      <c r="C41" s="29">
        <v>7326.67</v>
      </c>
      <c r="D41" s="29">
        <v>22724.960938</v>
      </c>
      <c r="E41" s="29">
        <v>13023.980469</v>
      </c>
      <c r="F41" s="29">
        <v>5372.7900390000004</v>
      </c>
      <c r="G41" s="29">
        <v>16067.5</v>
      </c>
      <c r="H41" s="29">
        <v>21932.57</v>
      </c>
      <c r="I41" s="30">
        <f t="shared" si="6"/>
        <v>3.7200430103366371E-3</v>
      </c>
      <c r="J41" s="30">
        <f t="shared" si="6"/>
        <v>-2.2208491034394384E-2</v>
      </c>
      <c r="K41" s="30">
        <f t="shared" si="6"/>
        <v>3.2407969396831084E-2</v>
      </c>
      <c r="L41" s="30">
        <f t="shared" si="6"/>
        <v>-1.5540175465712427E-2</v>
      </c>
      <c r="M41" s="30">
        <f t="shared" si="6"/>
        <v>-2.3713087821137822E-2</v>
      </c>
      <c r="N41" s="30">
        <f t="shared" si="6"/>
        <v>2.61459115554515E-3</v>
      </c>
      <c r="O41" s="30">
        <f t="shared" si="6"/>
        <v>-4.0166168506272975E-3</v>
      </c>
      <c r="R41" s="7" t="s">
        <v>25</v>
      </c>
      <c r="AC41" s="21"/>
    </row>
    <row r="42" spans="1:29" customFormat="1" x14ac:dyDescent="0.2">
      <c r="A42" s="28">
        <v>43070</v>
      </c>
      <c r="B42" s="29">
        <v>2673.610107</v>
      </c>
      <c r="C42" s="29">
        <v>7687.77</v>
      </c>
      <c r="D42" s="29">
        <v>22764.939452999999</v>
      </c>
      <c r="E42" s="29">
        <v>12917.639648</v>
      </c>
      <c r="F42" s="29">
        <v>5312.5600590000004</v>
      </c>
      <c r="G42" s="29">
        <v>16209.099609000001</v>
      </c>
      <c r="H42" s="29">
        <v>21833.8</v>
      </c>
      <c r="I42" s="30">
        <f t="shared" si="6"/>
        <v>3.4342557364422946E-2</v>
      </c>
      <c r="J42" s="30">
        <f t="shared" si="6"/>
        <v>4.9285691862742606E-2</v>
      </c>
      <c r="K42" s="30">
        <f t="shared" si="6"/>
        <v>1.75923360700471E-3</v>
      </c>
      <c r="L42" s="30">
        <f t="shared" si="6"/>
        <v>-8.1650015717633188E-3</v>
      </c>
      <c r="M42" s="30">
        <f t="shared" si="6"/>
        <v>-1.1210186804770478E-2</v>
      </c>
      <c r="N42" s="30">
        <f t="shared" si="6"/>
        <v>8.8127965769410795E-3</v>
      </c>
      <c r="O42" s="30">
        <f t="shared" si="6"/>
        <v>-4.5033482168300581E-3</v>
      </c>
      <c r="AC42" s="21"/>
    </row>
    <row r="43" spans="1:29" customFormat="1" x14ac:dyDescent="0.2">
      <c r="A43" s="28">
        <v>43101</v>
      </c>
      <c r="B43" s="29">
        <v>2823.8100589999999</v>
      </c>
      <c r="C43" s="29">
        <v>7533.55</v>
      </c>
      <c r="D43" s="29">
        <v>23098.289063</v>
      </c>
      <c r="E43" s="29">
        <v>13189.480469</v>
      </c>
      <c r="F43" s="29">
        <v>5481.9301759999998</v>
      </c>
      <c r="G43" s="29">
        <v>15951.700194999999</v>
      </c>
      <c r="H43" s="29">
        <v>21613.89</v>
      </c>
      <c r="I43" s="30">
        <f t="shared" si="6"/>
        <v>5.6178704444133053E-2</v>
      </c>
      <c r="J43" s="30">
        <f t="shared" si="6"/>
        <v>-2.0060433649810056E-2</v>
      </c>
      <c r="K43" s="30">
        <f t="shared" si="6"/>
        <v>1.4643114280546517E-2</v>
      </c>
      <c r="L43" s="30">
        <f t="shared" si="6"/>
        <v>2.1044155775168112E-2</v>
      </c>
      <c r="M43" s="30">
        <f t="shared" si="6"/>
        <v>3.1881073365574442E-2</v>
      </c>
      <c r="N43" s="30">
        <f t="shared" si="6"/>
        <v>-1.5879932890108341E-2</v>
      </c>
      <c r="O43" s="30">
        <f t="shared" si="6"/>
        <v>-1.0071998461101588E-2</v>
      </c>
      <c r="R43" s="7" t="s">
        <v>26</v>
      </c>
      <c r="S43" s="10">
        <f>(1+T43)^(1/12)-1</f>
        <v>6.4340301100034303E-3</v>
      </c>
      <c r="T43" s="21">
        <v>0.08</v>
      </c>
      <c r="AC43" s="21"/>
    </row>
    <row r="44" spans="1:29" customFormat="1" x14ac:dyDescent="0.2">
      <c r="A44" s="28">
        <v>43132</v>
      </c>
      <c r="B44" s="29">
        <v>2713.830078</v>
      </c>
      <c r="C44" s="29">
        <v>7231.91</v>
      </c>
      <c r="D44" s="29">
        <v>22068.240234000001</v>
      </c>
      <c r="E44" s="29">
        <v>12435.849609000001</v>
      </c>
      <c r="F44" s="29">
        <v>5320.4902339999999</v>
      </c>
      <c r="G44" s="29">
        <v>15442.700194999999</v>
      </c>
      <c r="H44" s="29">
        <v>21907.71</v>
      </c>
      <c r="I44" s="30">
        <f t="shared" si="6"/>
        <v>-3.8947372061896871E-2</v>
      </c>
      <c r="J44" s="30">
        <f t="shared" si="6"/>
        <v>-4.003955638444031E-2</v>
      </c>
      <c r="K44" s="30">
        <f t="shared" si="6"/>
        <v>-4.459416133335968E-2</v>
      </c>
      <c r="L44" s="30">
        <f t="shared" si="6"/>
        <v>-5.7138782817966298E-2</v>
      </c>
      <c r="M44" s="30">
        <f t="shared" si="6"/>
        <v>-2.944947068220374E-2</v>
      </c>
      <c r="N44" s="30">
        <f t="shared" si="6"/>
        <v>-3.1908824374692307E-2</v>
      </c>
      <c r="O44" s="30">
        <f t="shared" si="6"/>
        <v>1.3594036057368652E-2</v>
      </c>
      <c r="R44" s="7" t="s">
        <v>27</v>
      </c>
      <c r="S44" s="8">
        <f t="array" ref="S44">MMULT(TRANSPOSE(S31:S37),MMULT(S7:Y13,S31:S37))</f>
        <v>8.7152155341985627E-4</v>
      </c>
      <c r="AC44" s="21"/>
    </row>
    <row r="45" spans="1:29" customFormat="1" x14ac:dyDescent="0.2">
      <c r="A45" s="28">
        <v>43160</v>
      </c>
      <c r="B45" s="29">
        <v>2640.8701169999999</v>
      </c>
      <c r="C45" s="29">
        <v>7056.61</v>
      </c>
      <c r="D45" s="29">
        <v>21454.300781000002</v>
      </c>
      <c r="E45" s="29">
        <v>12096.730469</v>
      </c>
      <c r="F45" s="29">
        <v>5167.2998049999997</v>
      </c>
      <c r="G45" s="29">
        <v>15367.299805000001</v>
      </c>
      <c r="H45" s="29">
        <v>21460.46</v>
      </c>
      <c r="I45" s="30">
        <f t="shared" si="6"/>
        <v>-2.6884498624825112E-2</v>
      </c>
      <c r="J45" s="30">
        <f t="shared" si="6"/>
        <v>-2.4239792807156088E-2</v>
      </c>
      <c r="K45" s="30">
        <f t="shared" si="6"/>
        <v>-2.7820045753087167E-2</v>
      </c>
      <c r="L45" s="30">
        <f t="shared" si="6"/>
        <v>-2.7269479019316489E-2</v>
      </c>
      <c r="M45" s="30">
        <f t="shared" si="6"/>
        <v>-2.8792540210120839E-2</v>
      </c>
      <c r="N45" s="30">
        <f t="shared" si="6"/>
        <v>-4.88259106554512E-3</v>
      </c>
      <c r="O45" s="30">
        <f t="shared" si="6"/>
        <v>-2.0415187164701379E-2</v>
      </c>
      <c r="R45" s="7" t="s">
        <v>28</v>
      </c>
      <c r="S45" s="13">
        <f>(S43-S15)/S44</f>
        <v>7.3825255207473113</v>
      </c>
      <c r="AC45" s="21"/>
    </row>
    <row r="46" spans="1:29" customFormat="1" x14ac:dyDescent="0.2">
      <c r="A46" s="28">
        <v>43191</v>
      </c>
      <c r="B46" s="29">
        <v>2648.0500489999999</v>
      </c>
      <c r="C46" s="29">
        <v>7509.3</v>
      </c>
      <c r="D46" s="29">
        <v>22467.869140999999</v>
      </c>
      <c r="E46" s="29">
        <v>12612.110352</v>
      </c>
      <c r="F46" s="29">
        <v>5520.5</v>
      </c>
      <c r="G46" s="29">
        <v>15607.900390999999</v>
      </c>
      <c r="H46" s="29">
        <v>22205.68</v>
      </c>
      <c r="I46" s="30">
        <f t="shared" si="6"/>
        <v>2.7187751316434801E-3</v>
      </c>
      <c r="J46" s="30">
        <f t="shared" si="6"/>
        <v>6.415120008049198E-2</v>
      </c>
      <c r="K46" s="30">
        <f t="shared" si="6"/>
        <v>4.7243131824534546E-2</v>
      </c>
      <c r="L46" s="30">
        <f t="shared" si="6"/>
        <v>4.2604890992715035E-2</v>
      </c>
      <c r="M46" s="30">
        <f t="shared" si="6"/>
        <v>6.8352951895346889E-2</v>
      </c>
      <c r="N46" s="30">
        <f t="shared" si="6"/>
        <v>1.5656659859119515E-2</v>
      </c>
      <c r="O46" s="30">
        <f t="shared" si="6"/>
        <v>3.4725257520109132E-2</v>
      </c>
      <c r="AC46" s="21"/>
    </row>
    <row r="47" spans="1:29" customFormat="1" x14ac:dyDescent="0.2">
      <c r="A47" s="28">
        <v>43221</v>
      </c>
      <c r="B47" s="29">
        <v>2705.2700199999999</v>
      </c>
      <c r="C47" s="29">
        <v>7678.2</v>
      </c>
      <c r="D47" s="29">
        <v>22201.820313</v>
      </c>
      <c r="E47" s="29">
        <v>12604.889648</v>
      </c>
      <c r="F47" s="29">
        <v>5398.3999020000001</v>
      </c>
      <c r="G47" s="29">
        <v>16061.5</v>
      </c>
      <c r="H47" s="29">
        <v>21122.51</v>
      </c>
      <c r="I47" s="30">
        <f t="shared" si="6"/>
        <v>2.1608341965291905E-2</v>
      </c>
      <c r="J47" s="30">
        <f t="shared" si="6"/>
        <v>2.2492109783867956E-2</v>
      </c>
      <c r="K47" s="30">
        <f t="shared" si="6"/>
        <v>-1.1841302187153372E-2</v>
      </c>
      <c r="L47" s="30">
        <f t="shared" si="6"/>
        <v>-5.7252147328811973E-4</v>
      </c>
      <c r="M47" s="30">
        <f t="shared" si="6"/>
        <v>-2.2117579567068179E-2</v>
      </c>
      <c r="N47" s="30">
        <f t="shared" si="6"/>
        <v>2.9062179898428901E-2</v>
      </c>
      <c r="O47" s="30">
        <f t="shared" si="6"/>
        <v>-4.8778961058612118E-2</v>
      </c>
      <c r="R47" s="7" t="s">
        <v>29</v>
      </c>
      <c r="AC47" s="21"/>
    </row>
    <row r="48" spans="1:29" customFormat="1" x14ac:dyDescent="0.2">
      <c r="A48" s="28">
        <v>43252</v>
      </c>
      <c r="B48" s="29">
        <v>2718.3701169999999</v>
      </c>
      <c r="C48" s="29">
        <v>7636.93</v>
      </c>
      <c r="D48" s="29">
        <v>22304.509765999999</v>
      </c>
      <c r="E48" s="29">
        <v>12306</v>
      </c>
      <c r="F48" s="29">
        <v>5323.5297849999997</v>
      </c>
      <c r="G48" s="29">
        <v>16277.700194999999</v>
      </c>
      <c r="H48" s="29">
        <v>21157.47</v>
      </c>
      <c r="I48" s="30">
        <f t="shared" si="6"/>
        <v>4.8424360241866009E-3</v>
      </c>
      <c r="J48" s="30">
        <f t="shared" si="6"/>
        <v>-5.3749576723710673E-3</v>
      </c>
      <c r="K48" s="30">
        <f t="shared" si="6"/>
        <v>4.6252717818759444E-3</v>
      </c>
      <c r="L48" s="30">
        <f t="shared" si="6"/>
        <v>-2.3712198705954136E-2</v>
      </c>
      <c r="M48" s="30">
        <f t="shared" si="6"/>
        <v>-1.3868946050525546E-2</v>
      </c>
      <c r="N48" s="30">
        <f t="shared" si="6"/>
        <v>1.3460772343803471E-2</v>
      </c>
      <c r="O48" s="30">
        <f t="shared" si="6"/>
        <v>1.6551063296929563E-3</v>
      </c>
    </row>
    <row r="49" spans="1:27" customFormat="1" x14ac:dyDescent="0.2">
      <c r="A49" s="28">
        <v>43282</v>
      </c>
      <c r="B49" s="29">
        <v>2816.290039</v>
      </c>
      <c r="C49" s="29">
        <v>7748.76</v>
      </c>
      <c r="D49" s="29">
        <v>22553.720702999999</v>
      </c>
      <c r="E49" s="29">
        <v>12805.5</v>
      </c>
      <c r="F49" s="29">
        <v>5511.2998049999997</v>
      </c>
      <c r="G49" s="29">
        <v>16434</v>
      </c>
      <c r="H49" s="29">
        <v>21168.66</v>
      </c>
      <c r="I49" s="30">
        <f t="shared" si="6"/>
        <v>3.6021556221367206E-2</v>
      </c>
      <c r="J49" s="30">
        <f t="shared" si="6"/>
        <v>1.4643318715766665E-2</v>
      </c>
      <c r="K49" s="30">
        <f t="shared" si="6"/>
        <v>1.1173118782457433E-2</v>
      </c>
      <c r="L49" s="30">
        <f t="shared" si="6"/>
        <v>4.0589956118966361E-2</v>
      </c>
      <c r="M49" s="30">
        <f t="shared" si="6"/>
        <v>3.5271713991170982E-2</v>
      </c>
      <c r="N49" s="30">
        <f t="shared" si="6"/>
        <v>9.602081567272689E-3</v>
      </c>
      <c r="O49" s="30">
        <f t="shared" si="6"/>
        <v>5.2889121430864318E-4</v>
      </c>
      <c r="R49" s="7" t="s">
        <v>1</v>
      </c>
      <c r="S49" s="10">
        <f t="array" ref="S49:S55">MMULT(S7:Y13,S31:S37)*S45+S15</f>
        <v>6.2751691716326757E-3</v>
      </c>
      <c r="X49" s="6"/>
    </row>
    <row r="50" spans="1:27" customFormat="1" x14ac:dyDescent="0.2">
      <c r="A50" s="28">
        <v>43313</v>
      </c>
      <c r="B50" s="29">
        <v>2901.5200199999999</v>
      </c>
      <c r="C50" s="29">
        <v>7432.42</v>
      </c>
      <c r="D50" s="29">
        <v>22865.150390999999</v>
      </c>
      <c r="E50" s="29">
        <v>12364.059569999999</v>
      </c>
      <c r="F50" s="29">
        <v>5406.8500979999999</v>
      </c>
      <c r="G50" s="29">
        <v>16262.900390999999</v>
      </c>
      <c r="H50" s="29">
        <v>20236.27</v>
      </c>
      <c r="I50" s="30">
        <f t="shared" si="6"/>
        <v>3.0263211466054526E-2</v>
      </c>
      <c r="J50" s="30">
        <f t="shared" si="6"/>
        <v>-4.08245964515613E-2</v>
      </c>
      <c r="K50" s="30">
        <f t="shared" si="6"/>
        <v>1.3808350830494018E-2</v>
      </c>
      <c r="L50" s="30">
        <f t="shared" si="6"/>
        <v>-3.4472721096403931E-2</v>
      </c>
      <c r="M50" s="30">
        <f t="shared" si="6"/>
        <v>-1.8951918911259403E-2</v>
      </c>
      <c r="N50" s="30">
        <f t="shared" si="6"/>
        <v>-1.041131854691498E-2</v>
      </c>
      <c r="O50" s="30">
        <f t="shared" si="6"/>
        <v>-4.4045773327173257E-2</v>
      </c>
      <c r="R50" s="7" t="s">
        <v>2</v>
      </c>
      <c r="S50" s="10">
        <v>4.408781767105123E-3</v>
      </c>
      <c r="X50" s="6"/>
    </row>
    <row r="51" spans="1:27" customFormat="1" x14ac:dyDescent="0.2">
      <c r="A51" s="28">
        <v>43344</v>
      </c>
      <c r="B51" s="29">
        <v>2913.9799800000001</v>
      </c>
      <c r="C51" s="29">
        <v>7510.2</v>
      </c>
      <c r="D51" s="29">
        <v>24120.039063</v>
      </c>
      <c r="E51" s="29">
        <v>12246.730469</v>
      </c>
      <c r="F51" s="29">
        <v>5493.4902339999999</v>
      </c>
      <c r="G51" s="29">
        <v>16073.099609000001</v>
      </c>
      <c r="H51" s="29">
        <v>20253.27</v>
      </c>
      <c r="I51" s="30">
        <f t="shared" si="6"/>
        <v>4.2942871026614999E-3</v>
      </c>
      <c r="J51" s="30">
        <f t="shared" si="6"/>
        <v>1.0464962959574371E-2</v>
      </c>
      <c r="K51" s="30">
        <f t="shared" si="6"/>
        <v>5.488215255710456E-2</v>
      </c>
      <c r="L51" s="30">
        <f t="shared" si="6"/>
        <v>-9.4895289314753245E-3</v>
      </c>
      <c r="M51" s="30">
        <f t="shared" si="6"/>
        <v>1.6024142417421238E-2</v>
      </c>
      <c r="N51" s="30">
        <f t="shared" si="6"/>
        <v>-1.1670783036034303E-2</v>
      </c>
      <c r="O51" s="30">
        <f t="shared" si="6"/>
        <v>8.4007576495075424E-4</v>
      </c>
      <c r="R51" s="7" t="s">
        <v>3</v>
      </c>
      <c r="S51" s="10">
        <v>8.4376718587855278E-3</v>
      </c>
      <c r="X51" s="6"/>
    </row>
    <row r="52" spans="1:27" customFormat="1" x14ac:dyDescent="0.2">
      <c r="A52" s="28">
        <v>43374</v>
      </c>
      <c r="B52" s="29">
        <v>2711.73999</v>
      </c>
      <c r="C52" s="29">
        <v>7128.1</v>
      </c>
      <c r="D52" s="29">
        <v>21920.460938</v>
      </c>
      <c r="E52" s="29">
        <v>11447.509765999999</v>
      </c>
      <c r="F52" s="29">
        <v>5093.4399409999996</v>
      </c>
      <c r="G52" s="29">
        <v>15027.299805000001</v>
      </c>
      <c r="H52" s="29">
        <v>18411.43</v>
      </c>
      <c r="I52" s="30">
        <f t="shared" si="6"/>
        <v>-6.9403356024429527E-2</v>
      </c>
      <c r="J52" s="30">
        <f t="shared" si="6"/>
        <v>-5.0877473302974548E-2</v>
      </c>
      <c r="K52" s="30">
        <f t="shared" si="6"/>
        <v>-9.1192975237512783E-2</v>
      </c>
      <c r="L52" s="30">
        <f t="shared" si="6"/>
        <v>-6.525992427309954E-2</v>
      </c>
      <c r="M52" s="30">
        <f t="shared" si="6"/>
        <v>-7.2822609299281457E-2</v>
      </c>
      <c r="N52" s="30">
        <f t="shared" si="6"/>
        <v>-6.5065222604258177E-2</v>
      </c>
      <c r="O52" s="30">
        <f t="shared" si="6"/>
        <v>-9.0940376541664633E-2</v>
      </c>
      <c r="R52" s="7" t="s">
        <v>4</v>
      </c>
      <c r="S52" s="10">
        <v>8.360378794897266E-3</v>
      </c>
      <c r="X52" s="6"/>
    </row>
    <row r="53" spans="1:27" customFormat="1" x14ac:dyDescent="0.2">
      <c r="A53" s="28">
        <v>43405</v>
      </c>
      <c r="B53" s="29">
        <v>2760.169922</v>
      </c>
      <c r="C53" s="29">
        <v>6980.24</v>
      </c>
      <c r="D53" s="29">
        <v>22351.060547000001</v>
      </c>
      <c r="E53" s="29">
        <v>11257.240234000001</v>
      </c>
      <c r="F53" s="29">
        <v>5003.919922</v>
      </c>
      <c r="G53" s="29">
        <v>15197.799805000001</v>
      </c>
      <c r="H53" s="29">
        <v>18453.86</v>
      </c>
      <c r="I53" s="11">
        <f t="shared" si="6"/>
        <v>1.7859356788849069E-2</v>
      </c>
      <c r="J53" s="11">
        <f t="shared" si="6"/>
        <v>-2.0743255565999437E-2</v>
      </c>
      <c r="K53" s="11">
        <f t="shared" si="6"/>
        <v>1.9643729674203112E-2</v>
      </c>
      <c r="L53" s="11">
        <f t="shared" si="6"/>
        <v>-1.6621041247338687E-2</v>
      </c>
      <c r="M53" s="11">
        <f t="shared" si="6"/>
        <v>-1.7575552089934735E-2</v>
      </c>
      <c r="N53" s="11">
        <f t="shared" si="6"/>
        <v>1.1346017063110028E-2</v>
      </c>
      <c r="O53" s="11">
        <f t="shared" si="6"/>
        <v>2.3045466864877033E-3</v>
      </c>
      <c r="R53" s="7" t="s">
        <v>5</v>
      </c>
      <c r="S53" s="10">
        <v>7.0948708291819172E-3</v>
      </c>
      <c r="X53" s="6"/>
    </row>
    <row r="54" spans="1:27" customFormat="1" x14ac:dyDescent="0.2">
      <c r="A54" s="28">
        <v>43435</v>
      </c>
      <c r="B54" s="29">
        <v>2506.8500979999999</v>
      </c>
      <c r="C54" s="29">
        <v>6728.13</v>
      </c>
      <c r="D54" s="29">
        <v>20014.769531000002</v>
      </c>
      <c r="E54" s="29">
        <v>10558.959961</v>
      </c>
      <c r="F54" s="29">
        <v>4730.6899409999996</v>
      </c>
      <c r="G54" s="29">
        <v>14322.900390999999</v>
      </c>
      <c r="H54" s="29">
        <v>17914.03</v>
      </c>
      <c r="I54" s="11">
        <f t="shared" si="6"/>
        <v>-9.1776894596563949E-2</v>
      </c>
      <c r="J54" s="11">
        <f t="shared" si="6"/>
        <v>-3.6117669306499442E-2</v>
      </c>
      <c r="K54" s="11">
        <f t="shared" si="6"/>
        <v>-0.10452707651555175</v>
      </c>
      <c r="L54" s="11">
        <f t="shared" si="6"/>
        <v>-6.2029436921049209E-2</v>
      </c>
      <c r="M54" s="11">
        <f t="shared" si="6"/>
        <v>-5.4603188152298414E-2</v>
      </c>
      <c r="N54" s="11">
        <f t="shared" si="6"/>
        <v>-5.7567504851074813E-2</v>
      </c>
      <c r="O54" s="11">
        <f t="shared" si="6"/>
        <v>-2.9252958459639433E-2</v>
      </c>
      <c r="R54" s="7" t="s">
        <v>6</v>
      </c>
      <c r="S54" s="10">
        <v>3.6624854123146933E-3</v>
      </c>
      <c r="X54" s="6"/>
    </row>
    <row r="55" spans="1:27" customFormat="1" x14ac:dyDescent="0.2">
      <c r="A55" s="28">
        <v>43466</v>
      </c>
      <c r="B55" s="29">
        <v>2704.1000979999999</v>
      </c>
      <c r="C55" s="29">
        <v>6968.85</v>
      </c>
      <c r="D55" s="29">
        <v>20773.490234000001</v>
      </c>
      <c r="E55" s="29">
        <v>11173.099609000001</v>
      </c>
      <c r="F55" s="29">
        <v>4992.7202150000003</v>
      </c>
      <c r="G55" s="29">
        <v>15540.599609000001</v>
      </c>
      <c r="H55" s="29">
        <v>17959.39</v>
      </c>
      <c r="I55" s="11">
        <f t="shared" si="6"/>
        <v>7.8684401655036665E-2</v>
      </c>
      <c r="J55" s="11">
        <f t="shared" si="6"/>
        <v>3.5778143406860488E-2</v>
      </c>
      <c r="K55" s="11">
        <f t="shared" ref="K55:O64" si="10">(D55-D54)/D54</f>
        <v>3.7908040950701417E-2</v>
      </c>
      <c r="L55" s="11">
        <f t="shared" si="10"/>
        <v>5.8162892014777312E-2</v>
      </c>
      <c r="M55" s="11">
        <f t="shared" si="10"/>
        <v>5.5389441554609946E-2</v>
      </c>
      <c r="N55" s="11">
        <f t="shared" si="10"/>
        <v>8.5017642010912844E-2</v>
      </c>
      <c r="O55" s="11">
        <f t="shared" si="10"/>
        <v>2.5320935601872156E-3</v>
      </c>
      <c r="R55" s="7" t="s">
        <v>7</v>
      </c>
      <c r="S55" s="10">
        <v>6.7149274547136754E-3</v>
      </c>
      <c r="X55" s="6"/>
    </row>
    <row r="56" spans="1:27" customFormat="1" x14ac:dyDescent="0.2">
      <c r="A56" s="28">
        <v>43497</v>
      </c>
      <c r="B56" s="29">
        <v>2784.48999</v>
      </c>
      <c r="C56" s="29">
        <v>7074.73</v>
      </c>
      <c r="D56" s="29">
        <v>21385.160156000002</v>
      </c>
      <c r="E56" s="29">
        <v>11515.639648</v>
      </c>
      <c r="F56" s="29">
        <v>5240.5297849999997</v>
      </c>
      <c r="G56" s="29">
        <v>15999</v>
      </c>
      <c r="H56" s="29">
        <v>19267.89</v>
      </c>
      <c r="I56" s="11">
        <f t="shared" ref="I56:J64" si="11">(B56-B55)/B55</f>
        <v>2.9728889126352211E-2</v>
      </c>
      <c r="J56" s="11">
        <f t="shared" si="11"/>
        <v>1.5193324580095596E-2</v>
      </c>
      <c r="K56" s="11">
        <f t="shared" si="10"/>
        <v>2.9444735338642322E-2</v>
      </c>
      <c r="L56" s="11">
        <f t="shared" si="10"/>
        <v>3.0657566027969662E-2</v>
      </c>
      <c r="M56" s="11">
        <f t="shared" si="10"/>
        <v>4.9634179230690065E-2</v>
      </c>
      <c r="N56" s="11">
        <f t="shared" si="10"/>
        <v>2.9496956522483637E-2</v>
      </c>
      <c r="O56" s="11">
        <f t="shared" si="10"/>
        <v>7.285882204239677E-2</v>
      </c>
      <c r="X56" s="1"/>
    </row>
    <row r="57" spans="1:27" customFormat="1" x14ac:dyDescent="0.2">
      <c r="A57" s="28">
        <v>43525</v>
      </c>
      <c r="B57" s="29">
        <v>2834.3999020000001</v>
      </c>
      <c r="C57" s="29">
        <v>7279.19</v>
      </c>
      <c r="D57" s="29">
        <v>21205.810547000001</v>
      </c>
      <c r="E57" s="29">
        <v>11526.040039</v>
      </c>
      <c r="F57" s="29">
        <v>5350.5297849999997</v>
      </c>
      <c r="G57" s="29">
        <v>16102.099609000001</v>
      </c>
      <c r="H57" s="29">
        <v>20385.86</v>
      </c>
      <c r="I57" s="11">
        <f t="shared" si="11"/>
        <v>1.7924256211817115E-2</v>
      </c>
      <c r="J57" s="11">
        <f t="shared" si="11"/>
        <v>2.8900042828489576E-2</v>
      </c>
      <c r="K57" s="11">
        <f t="shared" si="10"/>
        <v>-8.3866385704706049E-3</v>
      </c>
      <c r="L57" s="11">
        <f t="shared" si="10"/>
        <v>9.0315356488300015E-4</v>
      </c>
      <c r="M57" s="11">
        <f t="shared" si="10"/>
        <v>2.0990244214402459E-2</v>
      </c>
      <c r="N57" s="11">
        <f t="shared" si="10"/>
        <v>6.4441283205200813E-3</v>
      </c>
      <c r="O57" s="11">
        <f t="shared" si="10"/>
        <v>5.8022440443660471E-2</v>
      </c>
      <c r="R57" s="7" t="s">
        <v>30</v>
      </c>
    </row>
    <row r="58" spans="1:27" customFormat="1" x14ac:dyDescent="0.2">
      <c r="A58" s="28">
        <v>43556</v>
      </c>
      <c r="B58" s="29">
        <v>2945.830078</v>
      </c>
      <c r="C58" s="29">
        <v>7418.22</v>
      </c>
      <c r="D58" s="29">
        <v>22258.730468999998</v>
      </c>
      <c r="E58" s="29">
        <v>12344.080078000001</v>
      </c>
      <c r="F58" s="29">
        <v>5586.4101559999999</v>
      </c>
      <c r="G58" s="29">
        <v>16580.699218999998</v>
      </c>
      <c r="H58" s="29">
        <v>21348.9</v>
      </c>
      <c r="I58" s="11">
        <f t="shared" si="11"/>
        <v>3.9313498395682572E-2</v>
      </c>
      <c r="J58" s="11">
        <f t="shared" si="11"/>
        <v>1.9099652571233978E-2</v>
      </c>
      <c r="K58" s="11">
        <f t="shared" si="10"/>
        <v>4.9652425200457831E-2</v>
      </c>
      <c r="L58" s="11">
        <f t="shared" si="10"/>
        <v>7.0973208164473334E-2</v>
      </c>
      <c r="M58" s="11">
        <f t="shared" si="10"/>
        <v>4.4085423402609882E-2</v>
      </c>
      <c r="N58" s="11">
        <f t="shared" si="10"/>
        <v>2.9722807684812245E-2</v>
      </c>
      <c r="O58" s="11">
        <f t="shared" si="10"/>
        <v>4.7240587348289495E-2</v>
      </c>
    </row>
    <row r="59" spans="1:27" customFormat="1" x14ac:dyDescent="0.2">
      <c r="A59" s="28">
        <v>43586</v>
      </c>
      <c r="B59" s="29">
        <v>2752.0600589999999</v>
      </c>
      <c r="C59" s="29">
        <v>7161.71</v>
      </c>
      <c r="D59" s="29">
        <v>20601.189452999999</v>
      </c>
      <c r="E59" s="29">
        <v>11726.839844</v>
      </c>
      <c r="F59" s="29">
        <v>5207.6298829999996</v>
      </c>
      <c r="G59" s="29">
        <v>16037.5</v>
      </c>
      <c r="H59" s="29">
        <v>19535.5</v>
      </c>
      <c r="I59" s="11">
        <f t="shared" si="11"/>
        <v>-6.5777731189286898E-2</v>
      </c>
      <c r="J59" s="11">
        <f t="shared" si="11"/>
        <v>-3.4578375944633644E-2</v>
      </c>
      <c r="K59" s="11">
        <f t="shared" si="10"/>
        <v>-7.4467006027521501E-2</v>
      </c>
      <c r="L59" s="11">
        <f t="shared" si="10"/>
        <v>-5.000293501822508E-2</v>
      </c>
      <c r="M59" s="11">
        <f t="shared" si="10"/>
        <v>-6.7803878058108044E-2</v>
      </c>
      <c r="N59" s="11">
        <f t="shared" si="10"/>
        <v>-3.2760935580903643E-2</v>
      </c>
      <c r="O59" s="11">
        <f t="shared" si="10"/>
        <v>-8.4941144508616437E-2</v>
      </c>
      <c r="S59" s="7" t="s">
        <v>1</v>
      </c>
      <c r="T59" s="7" t="s">
        <v>2</v>
      </c>
      <c r="U59" s="7" t="s">
        <v>3</v>
      </c>
      <c r="V59" s="7" t="s">
        <v>4</v>
      </c>
      <c r="W59" s="7" t="s">
        <v>5</v>
      </c>
      <c r="X59" s="7" t="s">
        <v>6</v>
      </c>
      <c r="Y59" s="7" t="s">
        <v>7</v>
      </c>
    </row>
    <row r="60" spans="1:27" customFormat="1" x14ac:dyDescent="0.2">
      <c r="A60" s="28">
        <v>43617</v>
      </c>
      <c r="B60" s="29">
        <v>2941.76001</v>
      </c>
      <c r="C60" s="29">
        <v>7425.63</v>
      </c>
      <c r="D60" s="29">
        <v>21275.919922000001</v>
      </c>
      <c r="E60" s="29">
        <v>12398.799805000001</v>
      </c>
      <c r="F60" s="29">
        <v>5538.9702150000003</v>
      </c>
      <c r="G60" s="29">
        <v>16382.200194999999</v>
      </c>
      <c r="H60" s="29">
        <v>19593.7</v>
      </c>
      <c r="I60" s="11">
        <f t="shared" si="11"/>
        <v>6.8930163925612228E-2</v>
      </c>
      <c r="J60" s="11">
        <f t="shared" si="11"/>
        <v>3.6851534060999405E-2</v>
      </c>
      <c r="K60" s="11">
        <f t="shared" si="10"/>
        <v>3.2752015146472323E-2</v>
      </c>
      <c r="L60" s="11">
        <f t="shared" si="10"/>
        <v>5.730102652879724E-2</v>
      </c>
      <c r="M60" s="11">
        <f t="shared" si="10"/>
        <v>6.3625937219855364E-2</v>
      </c>
      <c r="N60" s="11">
        <f t="shared" si="10"/>
        <v>2.1493387061574401E-2</v>
      </c>
      <c r="O60" s="11">
        <f t="shared" si="10"/>
        <v>2.9791917278800505E-3</v>
      </c>
      <c r="R60" s="7" t="s">
        <v>1</v>
      </c>
      <c r="S60" s="25">
        <f>S7/$S$7</f>
        <v>1</v>
      </c>
      <c r="T60" s="25">
        <f>T7/$T$8</f>
        <v>0.53829947530909761</v>
      </c>
      <c r="U60" s="25">
        <f>U7/$U$9</f>
        <v>0.43790918469412482</v>
      </c>
      <c r="V60" s="25">
        <f>V7/$V$10</f>
        <v>0.40447951271508348</v>
      </c>
      <c r="W60" s="25">
        <f>W7/$W$11</f>
        <v>0.44909741087935984</v>
      </c>
      <c r="X60" s="25">
        <f>X7/$X$12</f>
        <v>0.93315516330193327</v>
      </c>
      <c r="Y60" s="25">
        <f>Y7/$Y$13</f>
        <v>0.24371448925641417</v>
      </c>
    </row>
    <row r="61" spans="1:27" customFormat="1" x14ac:dyDescent="0.2">
      <c r="A61" s="28">
        <v>43647</v>
      </c>
      <c r="B61" s="29">
        <v>2980.3798830000001</v>
      </c>
      <c r="C61" s="29">
        <v>7586.78</v>
      </c>
      <c r="D61" s="29">
        <v>21521.529297000001</v>
      </c>
      <c r="E61" s="29">
        <v>12189.040039</v>
      </c>
      <c r="F61" s="29">
        <v>5518.8999020000001</v>
      </c>
      <c r="G61" s="29">
        <v>16406.599609000001</v>
      </c>
      <c r="H61" s="29">
        <v>21235.08</v>
      </c>
      <c r="I61" s="11">
        <f t="shared" si="11"/>
        <v>1.312815214997776E-2</v>
      </c>
      <c r="J61" s="11">
        <f t="shared" si="11"/>
        <v>2.170186233356626E-2</v>
      </c>
      <c r="K61" s="11">
        <f t="shared" si="10"/>
        <v>1.1544007304992337E-2</v>
      </c>
      <c r="L61" s="11">
        <f t="shared" si="10"/>
        <v>-1.6917747628719056E-2</v>
      </c>
      <c r="M61" s="11">
        <f t="shared" si="10"/>
        <v>-3.6234737182099415E-3</v>
      </c>
      <c r="N61" s="11">
        <f t="shared" si="10"/>
        <v>1.4893856569673878E-3</v>
      </c>
      <c r="O61" s="11">
        <f t="shared" si="10"/>
        <v>8.3770803880839295E-2</v>
      </c>
      <c r="R61" s="7" t="s">
        <v>2</v>
      </c>
      <c r="S61" s="25">
        <f t="shared" ref="S61:S66" si="12">S8/$S$7</f>
        <v>0.54682898642106648</v>
      </c>
      <c r="T61" s="25">
        <f t="shared" ref="T61:T66" si="13">T8/$T$8</f>
        <v>1</v>
      </c>
      <c r="U61" s="25">
        <f t="shared" ref="U61:U66" si="14">U8/$U$9</f>
        <v>0.29311970990184527</v>
      </c>
      <c r="V61" s="25">
        <f t="shared" ref="V61:V66" si="15">V8/$V$10</f>
        <v>0.39454883945291719</v>
      </c>
      <c r="W61" s="25">
        <f t="shared" ref="W61:W66" si="16">W8/$W$11</f>
        <v>0.47668559089081025</v>
      </c>
      <c r="X61" s="25">
        <f t="shared" ref="X61:X66" si="17">X8/$X$12</f>
        <v>0.8607286294641795</v>
      </c>
      <c r="Y61" s="25">
        <f t="shared" ref="Y61:Y66" si="18">Y8/$Y$13</f>
        <v>0.15705869123354735</v>
      </c>
    </row>
    <row r="62" spans="1:27" customFormat="1" x14ac:dyDescent="0.2">
      <c r="A62" s="28">
        <v>43678</v>
      </c>
      <c r="B62" s="29">
        <v>2926.459961</v>
      </c>
      <c r="C62" s="29">
        <v>7207.18</v>
      </c>
      <c r="D62" s="29">
        <v>20704.369140999999</v>
      </c>
      <c r="E62" s="29">
        <v>11939.280273</v>
      </c>
      <c r="F62" s="29">
        <v>5480.4799800000001</v>
      </c>
      <c r="G62" s="29">
        <v>16442.099609000001</v>
      </c>
      <c r="H62" s="29">
        <v>19936.13</v>
      </c>
      <c r="I62" s="11">
        <f t="shared" si="11"/>
        <v>-1.8091627281326687E-2</v>
      </c>
      <c r="J62" s="11">
        <f t="shared" si="11"/>
        <v>-5.0034401946543787E-2</v>
      </c>
      <c r="K62" s="11">
        <f t="shared" si="10"/>
        <v>-3.7969427949244759E-2</v>
      </c>
      <c r="L62" s="11">
        <f t="shared" si="10"/>
        <v>-2.0490519778495187E-2</v>
      </c>
      <c r="M62" s="11">
        <f t="shared" si="10"/>
        <v>-6.9615181797511869E-3</v>
      </c>
      <c r="N62" s="11">
        <f t="shared" si="10"/>
        <v>2.1637634150909689E-3</v>
      </c>
      <c r="O62" s="11">
        <f t="shared" si="10"/>
        <v>-6.1170007365171246E-2</v>
      </c>
      <c r="R62" s="7" t="s">
        <v>3</v>
      </c>
      <c r="S62" s="25">
        <f t="shared" si="12"/>
        <v>1.0312592636923519</v>
      </c>
      <c r="T62" s="25">
        <f t="shared" si="13"/>
        <v>0.67951846035007246</v>
      </c>
      <c r="U62" s="25">
        <f t="shared" si="14"/>
        <v>1</v>
      </c>
      <c r="V62" s="25">
        <f t="shared" si="15"/>
        <v>0.75698954217725145</v>
      </c>
      <c r="W62" s="25">
        <f t="shared" si="16"/>
        <v>0.83523376100618951</v>
      </c>
      <c r="X62" s="25">
        <f t="shared" si="17"/>
        <v>1.2042188896759676</v>
      </c>
      <c r="Y62" s="25">
        <f t="shared" si="18"/>
        <v>0.55132653729807191</v>
      </c>
    </row>
    <row r="63" spans="1:27" customFormat="1" x14ac:dyDescent="0.2">
      <c r="A63" s="28">
        <v>43709</v>
      </c>
      <c r="B63" s="29">
        <v>2976.73999</v>
      </c>
      <c r="C63" s="29">
        <v>7408.21</v>
      </c>
      <c r="D63" s="29">
        <v>21755.839843999998</v>
      </c>
      <c r="E63" s="29">
        <v>12428.080078000001</v>
      </c>
      <c r="F63" s="29">
        <v>5677.7900390000004</v>
      </c>
      <c r="G63" s="29">
        <v>16658.599609000001</v>
      </c>
      <c r="H63" s="29">
        <v>21311.18</v>
      </c>
      <c r="I63" s="11">
        <f t="shared" si="11"/>
        <v>1.7181177829208652E-2</v>
      </c>
      <c r="J63" s="11">
        <f t="shared" si="11"/>
        <v>2.7893017796142144E-2</v>
      </c>
      <c r="K63" s="11">
        <f t="shared" si="10"/>
        <v>5.0784966971913932E-2</v>
      </c>
      <c r="L63" s="11">
        <f t="shared" si="10"/>
        <v>4.0940474955210943E-2</v>
      </c>
      <c r="M63" s="11">
        <f t="shared" si="10"/>
        <v>3.6002331861451367E-2</v>
      </c>
      <c r="N63" s="11">
        <f t="shared" si="10"/>
        <v>1.3167418100392314E-2</v>
      </c>
      <c r="O63" s="11">
        <f t="shared" si="10"/>
        <v>6.8972764523505772E-2</v>
      </c>
      <c r="R63" s="7" t="s">
        <v>4</v>
      </c>
      <c r="S63" s="25">
        <f t="shared" si="12"/>
        <v>0.98649584092435783</v>
      </c>
      <c r="T63" s="25">
        <f t="shared" si="13"/>
        <v>0.94726595435818328</v>
      </c>
      <c r="U63" s="25">
        <f t="shared" si="14"/>
        <v>0.78397966976745381</v>
      </c>
      <c r="V63" s="25">
        <f t="shared" si="15"/>
        <v>1</v>
      </c>
      <c r="W63" s="25">
        <f t="shared" si="16"/>
        <v>1.0453509234806933</v>
      </c>
      <c r="X63" s="25">
        <f t="shared" si="17"/>
        <v>1.2773513457840751</v>
      </c>
      <c r="Y63" s="25">
        <f t="shared" si="18"/>
        <v>0.52928237069502837</v>
      </c>
    </row>
    <row r="64" spans="1:27" customFormat="1" x14ac:dyDescent="0.2">
      <c r="A64" s="28">
        <v>43739</v>
      </c>
      <c r="B64" s="29">
        <v>2887.610107</v>
      </c>
      <c r="C64" s="29">
        <v>7077.64</v>
      </c>
      <c r="D64" s="29">
        <v>21778.609375</v>
      </c>
      <c r="E64" s="29">
        <v>11925.25</v>
      </c>
      <c r="F64" s="29">
        <v>5422.7700199999999</v>
      </c>
      <c r="G64" s="29">
        <v>16311</v>
      </c>
      <c r="H64" s="29">
        <v>21125.5</v>
      </c>
      <c r="I64" s="11">
        <f t="shared" si="11"/>
        <v>-2.9942112276994694E-2</v>
      </c>
      <c r="J64" s="11">
        <f t="shared" si="11"/>
        <v>-4.4622115193818708E-2</v>
      </c>
      <c r="K64" s="11">
        <f t="shared" si="10"/>
        <v>1.0465939795140245E-3</v>
      </c>
      <c r="L64" s="11">
        <f t="shared" si="10"/>
        <v>-4.0459191994594808E-2</v>
      </c>
      <c r="M64" s="11">
        <f t="shared" si="10"/>
        <v>-4.491536623374609E-2</v>
      </c>
      <c r="N64" s="11">
        <f t="shared" si="10"/>
        <v>-2.0866076210404028E-2</v>
      </c>
      <c r="O64" s="11">
        <f t="shared" si="10"/>
        <v>-8.7127976958573054E-3</v>
      </c>
      <c r="R64" s="7" t="s">
        <v>5</v>
      </c>
      <c r="S64" s="25">
        <f t="shared" si="12"/>
        <v>0.82975956904217685</v>
      </c>
      <c r="T64" s="25">
        <f t="shared" si="13"/>
        <v>0.86699415869986352</v>
      </c>
      <c r="U64" s="25">
        <f t="shared" si="14"/>
        <v>0.65529363599932711</v>
      </c>
      <c r="V64" s="25">
        <f t="shared" si="15"/>
        <v>0.79190866669439541</v>
      </c>
      <c r="W64" s="25">
        <f t="shared" si="16"/>
        <v>1</v>
      </c>
      <c r="X64" s="25">
        <f t="shared" si="17"/>
        <v>1.1219396834777047</v>
      </c>
      <c r="Y64" s="25">
        <f t="shared" si="18"/>
        <v>0.39808113699034897</v>
      </c>
      <c r="Z64" s="1"/>
      <c r="AA64" s="1"/>
    </row>
    <row r="65" spans="18:27" x14ac:dyDescent="0.2">
      <c r="R65" s="7" t="s">
        <v>6</v>
      </c>
      <c r="S65" s="25">
        <f t="shared" si="12"/>
        <v>0.50765928959857265</v>
      </c>
      <c r="T65" s="25">
        <f t="shared" si="13"/>
        <v>0.46095353699287001</v>
      </c>
      <c r="U65" s="25">
        <f t="shared" si="14"/>
        <v>0.27818909458326008</v>
      </c>
      <c r="V65" s="25">
        <f t="shared" si="15"/>
        <v>0.28492470980742585</v>
      </c>
      <c r="W65" s="25">
        <f t="shared" si="16"/>
        <v>0.33035148660515001</v>
      </c>
      <c r="X65" s="25">
        <f t="shared" si="17"/>
        <v>1</v>
      </c>
      <c r="Y65" s="25">
        <f t="shared" si="18"/>
        <v>0.16454516580028328</v>
      </c>
    </row>
    <row r="66" spans="18:27" x14ac:dyDescent="0.2">
      <c r="R66" s="7" t="s">
        <v>7</v>
      </c>
      <c r="S66" s="25">
        <f t="shared" si="12"/>
        <v>0.75916054849187398</v>
      </c>
      <c r="T66" s="25">
        <f t="shared" si="13"/>
        <v>0.48160022857011847</v>
      </c>
      <c r="U66" s="25">
        <f t="shared" si="14"/>
        <v>0.72925156509236444</v>
      </c>
      <c r="V66" s="25">
        <f t="shared" si="15"/>
        <v>0.67599110388263539</v>
      </c>
      <c r="W66" s="25">
        <f t="shared" si="16"/>
        <v>0.67113851439569361</v>
      </c>
      <c r="X66" s="25">
        <f t="shared" si="17"/>
        <v>0.94214757519304293</v>
      </c>
      <c r="Y66" s="25">
        <f t="shared" si="18"/>
        <v>1</v>
      </c>
    </row>
    <row r="68" spans="18:27" x14ac:dyDescent="0.2">
      <c r="R68" s="14" t="s">
        <v>31</v>
      </c>
    </row>
    <row r="70" spans="18:27" x14ac:dyDescent="0.2">
      <c r="S70" s="7" t="s">
        <v>32</v>
      </c>
      <c r="T70" s="7" t="s">
        <v>33</v>
      </c>
      <c r="V70" s="7" t="s">
        <v>34</v>
      </c>
      <c r="W70" s="7" t="s">
        <v>35</v>
      </c>
      <c r="X70" s="7" t="s">
        <v>43</v>
      </c>
      <c r="Y70" s="7" t="s">
        <v>44</v>
      </c>
      <c r="AA70" s="7" t="s">
        <v>21</v>
      </c>
    </row>
    <row r="71" spans="18:27" x14ac:dyDescent="0.2">
      <c r="R71" s="7" t="s">
        <v>1</v>
      </c>
      <c r="S71" s="15">
        <v>0</v>
      </c>
      <c r="T71" s="15">
        <f>S49+S71</f>
        <v>6.2751691716326757E-3</v>
      </c>
      <c r="V71" s="15">
        <v>0</v>
      </c>
      <c r="W71" s="16">
        <f t="array" ref="W71:W77">S49:S55+MMULT(S60:Y66,V71:V77)</f>
        <v>7.3207869373564096E-3</v>
      </c>
      <c r="X71" s="4">
        <f>IF(S71=0,0,1)</f>
        <v>0</v>
      </c>
      <c r="Y71" s="16">
        <f>ABS(T71-W71)</f>
        <v>1.045617765723734E-3</v>
      </c>
      <c r="AA71" s="16">
        <f t="array" ref="AA71:AA77">MMULT(MINVERSE(S7:Y13),(W71:W77-S15))/SUM(MMULT(MINVERSE(S7:Y13),(W71:W77-S15)))</f>
        <v>0.47120955403933579</v>
      </c>
    </row>
    <row r="72" spans="18:27" x14ac:dyDescent="0.2">
      <c r="R72" s="7" t="s">
        <v>2</v>
      </c>
      <c r="S72" s="15">
        <v>0</v>
      </c>
      <c r="T72" s="15">
        <f t="shared" ref="T72:T77" si="19">S50+S72</f>
        <v>4.408781767105123E-3</v>
      </c>
      <c r="V72" s="15">
        <v>0</v>
      </c>
      <c r="W72" s="16">
        <v>5.2884371332732986E-3</v>
      </c>
      <c r="X72" s="4">
        <f t="shared" ref="X72:X77" si="20">IF(S72=0,0,1)</f>
        <v>0</v>
      </c>
      <c r="Y72" s="16">
        <f t="shared" ref="Y72:Y77" si="21">ABS(T72-W72)</f>
        <v>8.7965536616817566E-4</v>
      </c>
      <c r="AA72" s="16">
        <v>8.0392966233968355E-2</v>
      </c>
    </row>
    <row r="73" spans="18:27" x14ac:dyDescent="0.2">
      <c r="R73" s="7" t="s">
        <v>3</v>
      </c>
      <c r="S73" s="15">
        <v>0</v>
      </c>
      <c r="T73" s="15">
        <f t="shared" si="19"/>
        <v>8.4376718587855278E-3</v>
      </c>
      <c r="V73" s="15">
        <v>0</v>
      </c>
      <c r="W73" s="16">
        <v>1.0083505627926183E-2</v>
      </c>
      <c r="X73" s="4">
        <f t="shared" si="20"/>
        <v>0</v>
      </c>
      <c r="Y73" s="16">
        <f t="shared" si="21"/>
        <v>1.645833769140655E-3</v>
      </c>
      <c r="AA73" s="16">
        <v>9.8528488890264346E-2</v>
      </c>
    </row>
    <row r="74" spans="18:27" x14ac:dyDescent="0.2">
      <c r="R74" s="7" t="s">
        <v>4</v>
      </c>
      <c r="S74" s="15">
        <v>0</v>
      </c>
      <c r="T74" s="15">
        <f t="shared" si="19"/>
        <v>8.360378794897266E-3</v>
      </c>
      <c r="V74" s="15">
        <v>0</v>
      </c>
      <c r="W74" s="16">
        <v>1.0036648138172354E-2</v>
      </c>
      <c r="X74" s="4">
        <f t="shared" si="20"/>
        <v>0</v>
      </c>
      <c r="Y74" s="16">
        <f t="shared" si="21"/>
        <v>1.6762693432750882E-3</v>
      </c>
      <c r="AA74" s="16">
        <v>3.964692182437006E-2</v>
      </c>
    </row>
    <row r="75" spans="18:27" x14ac:dyDescent="0.2">
      <c r="R75" s="7" t="s">
        <v>5</v>
      </c>
      <c r="S75" s="15">
        <v>0</v>
      </c>
      <c r="T75" s="15">
        <f t="shared" si="19"/>
        <v>7.0948708291819172E-3</v>
      </c>
      <c r="V75" s="15">
        <v>0</v>
      </c>
      <c r="W75" s="16">
        <v>8.4835567700949459E-3</v>
      </c>
      <c r="X75" s="4">
        <f t="shared" si="20"/>
        <v>0</v>
      </c>
      <c r="Y75" s="16">
        <f t="shared" si="21"/>
        <v>1.3886859409130287E-3</v>
      </c>
      <c r="AA75" s="16">
        <v>4.5142534750519485E-2</v>
      </c>
    </row>
    <row r="76" spans="18:27" x14ac:dyDescent="0.2">
      <c r="R76" s="7" t="s">
        <v>6</v>
      </c>
      <c r="S76" s="15">
        <v>1E-3</v>
      </c>
      <c r="T76" s="15">
        <f t="shared" si="19"/>
        <v>4.6624854123146937E-3</v>
      </c>
      <c r="V76" s="15">
        <v>7.935435070418567E-4</v>
      </c>
      <c r="W76" s="16">
        <v>4.6620313679586259E-3</v>
      </c>
      <c r="X76" s="4">
        <f t="shared" si="20"/>
        <v>1</v>
      </c>
      <c r="Y76" s="16">
        <f t="shared" si="21"/>
        <v>4.5404435606785642E-7</v>
      </c>
      <c r="AA76" s="16">
        <v>0.19470950425382996</v>
      </c>
    </row>
    <row r="77" spans="18:27" x14ac:dyDescent="0.2">
      <c r="R77" s="7" t="s">
        <v>7</v>
      </c>
      <c r="S77" s="15">
        <v>2E-3</v>
      </c>
      <c r="T77" s="15">
        <f t="shared" si="19"/>
        <v>8.7149274547136755E-3</v>
      </c>
      <c r="V77" s="15">
        <v>1.2519507795939195E-3</v>
      </c>
      <c r="W77" s="16">
        <v>8.7145133252772636E-3</v>
      </c>
      <c r="X77" s="4">
        <f t="shared" si="20"/>
        <v>1</v>
      </c>
      <c r="Y77" s="16">
        <f t="shared" si="21"/>
        <v>4.141294364119058E-7</v>
      </c>
      <c r="AA77" s="16">
        <v>7.0370030007712026E-2</v>
      </c>
    </row>
    <row r="79" spans="18:27" x14ac:dyDescent="0.2">
      <c r="X79" s="7" t="s">
        <v>36</v>
      </c>
      <c r="Y79" s="16">
        <f>SUMPRODUCT(X71:X77,Y71:Y77)</f>
        <v>8.6817379247976223E-7</v>
      </c>
      <c r="Z79" s="7" t="s">
        <v>19</v>
      </c>
      <c r="AA79" s="17">
        <f>SUM(AA71:AA77)</f>
        <v>0.99999999999999989</v>
      </c>
    </row>
  </sheetData>
  <mergeCells count="2">
    <mergeCell ref="B1:H1"/>
    <mergeCell ref="I1:O1"/>
  </mergeCells>
  <pageMargins left="0.74803149606299213" right="0.74803149606299213" top="0.98425196850393704" bottom="0.98425196850393704" header="0.51181102362204722" footer="0.51181102362204722"/>
  <pageSetup paperSize="9" scale="32" fitToHeight="2" orientation="landscape" cellComments="asDisplayed" horizontalDpi="2400" verticalDpi="2400" r:id="rId1"/>
  <legacy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Harris</dc:creator>
  <cp:lastModifiedBy>Wei-Ming Lee</cp:lastModifiedBy>
  <cp:lastPrinted>2022-02-03T09:52:49Z</cp:lastPrinted>
  <dcterms:created xsi:type="dcterms:W3CDTF">2012-10-05T17:07:25Z</dcterms:created>
  <dcterms:modified xsi:type="dcterms:W3CDTF">2022-09-03T14:32:17Z</dcterms:modified>
</cp:coreProperties>
</file>