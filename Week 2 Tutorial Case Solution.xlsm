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l435\Dropbox\Teaching Exeter\BEAM046_2022\Tutorial\Week 2\"/>
    </mc:Choice>
  </mc:AlternateContent>
  <xr:revisionPtr revIDLastSave="0" documentId="13_ncr:1_{CE983195-9204-419F-883B-91BE7D79EB40}" xr6:coauthVersionLast="47" xr6:coauthVersionMax="47" xr10:uidLastSave="{00000000-0000-0000-0000-000000000000}"/>
  <bookViews>
    <workbookView xWindow="-110" yWindow="-110" windowWidth="19420" windowHeight="10420" tabRatio="500" xr2:uid="{00000000-000D-0000-FFFF-FFFF00000000}"/>
  </bookViews>
  <sheets>
    <sheet name="Short sales" sheetId="1" r:id="rId1"/>
    <sheet name="No short sales" sheetId="3" r:id="rId2"/>
    <sheet name="VBA notes" sheetId="2" r:id="rId3"/>
  </sheets>
  <definedNames>
    <definedName name="ExpectedReturn">'No short sales'!$S$27</definedName>
    <definedName name="Output">'No short sales'!$R$32:$T$71</definedName>
    <definedName name="PortfolioReturn">'No short sales'!$S$27</definedName>
    <definedName name="PortfolioVariance">'No short sales'!$S$28</definedName>
    <definedName name="PortfolioWeights">'No short sales'!$S$17:$S$23</definedName>
    <definedName name="solver_adj" localSheetId="1" hidden="1">'No short sales'!$S$17:$S$23</definedName>
    <definedName name="solver_adj" localSheetId="0" hidden="1">'Short sales'!$T$17:$T$23</definedName>
    <definedName name="solver_adj" localSheetId="2" hidden="1">'VBA notes'!$S$15:$S$21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'No short sales'!$S$25</definedName>
    <definedName name="solver_lhs1" localSheetId="0" hidden="1">'Short sales'!$T$25</definedName>
    <definedName name="solver_lhs1" localSheetId="2" hidden="1">'VBA notes'!$S$23</definedName>
    <definedName name="solver_lhs2" localSheetId="1" hidden="1">'No short sales'!$S$27</definedName>
    <definedName name="solver_lhs2" localSheetId="0" hidden="1">'Short sales'!$T$27</definedName>
    <definedName name="solver_lhs2" localSheetId="2" hidden="1">'VBA notes'!$S$25</definedName>
    <definedName name="solver_lhs3" localSheetId="1" hidden="1">'No short sales'!$S$17:$S$23</definedName>
    <definedName name="solver_lhs3" localSheetId="2" hidden="1">'VBA notes'!$S$15:$S$21</definedName>
    <definedName name="solver_lin" localSheetId="1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2</definedName>
    <definedName name="solver_neg" localSheetId="2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2</definedName>
    <definedName name="solver_num" localSheetId="2" hidden="1">3</definedName>
    <definedName name="solver_nwt" localSheetId="1" hidden="1">1</definedName>
    <definedName name="solver_nwt" localSheetId="0" hidden="1">1</definedName>
    <definedName name="solver_opt" localSheetId="1" hidden="1">'No short sales'!$S$28</definedName>
    <definedName name="solver_opt" localSheetId="0" hidden="1">'Short sales'!$T$28</definedName>
    <definedName name="solver_opt" localSheetId="2" hidden="1">'VBA notes'!$S$26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1" localSheetId="2" hidden="1">2</definedName>
    <definedName name="solver_rel2" localSheetId="1" hidden="1">2</definedName>
    <definedName name="solver_rel2" localSheetId="0" hidden="1">2</definedName>
    <definedName name="solver_rel2" localSheetId="2" hidden="1">2</definedName>
    <definedName name="solver_rel3" localSheetId="1" hidden="1">3</definedName>
    <definedName name="solver_rel3" localSheetId="2" hidden="1">3</definedName>
    <definedName name="solver_rhs1" localSheetId="1" hidden="1">1</definedName>
    <definedName name="solver_rhs1" localSheetId="0" hidden="1">1</definedName>
    <definedName name="solver_rhs1" localSheetId="2" hidden="1">1</definedName>
    <definedName name="solver_rhs2" localSheetId="1" hidden="1">0.00550000000000002</definedName>
    <definedName name="solver_rhs2" localSheetId="0" hidden="1">'Short sales'!$T$30</definedName>
    <definedName name="solver_rhs2" localSheetId="2" hidden="1">0.004598</definedName>
    <definedName name="solver_rhs3" localSheetId="1" hidden="1">0</definedName>
    <definedName name="solver_rhs3" localSheetId="2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2</definedName>
    <definedName name="solver_ver" localSheetId="0" hidden="1">3</definedName>
    <definedName name="solver_ver" localSheetId="2" hidden="1">3</definedName>
    <definedName name="TargetReturn">'No short sales'!$S$29</definedName>
    <definedName name="WeightsSum">'No short sales'!$S$25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7" i="3" l="1"/>
  <c r="O64" i="1"/>
  <c r="N64" i="1"/>
  <c r="M64" i="1"/>
  <c r="L64" i="1"/>
  <c r="K64" i="1"/>
  <c r="J64" i="1"/>
  <c r="I64" i="1"/>
  <c r="O63" i="1"/>
  <c r="N63" i="1"/>
  <c r="M63" i="1"/>
  <c r="L63" i="1"/>
  <c r="K63" i="1"/>
  <c r="J63" i="1"/>
  <c r="I63" i="1"/>
  <c r="O62" i="1"/>
  <c r="N62" i="1"/>
  <c r="M62" i="1"/>
  <c r="L62" i="1"/>
  <c r="K62" i="1"/>
  <c r="J62" i="1"/>
  <c r="I62" i="1"/>
  <c r="O61" i="1"/>
  <c r="N61" i="1"/>
  <c r="M61" i="1"/>
  <c r="L61" i="1"/>
  <c r="K61" i="1"/>
  <c r="J61" i="1"/>
  <c r="I61" i="1"/>
  <c r="O60" i="1"/>
  <c r="N60" i="1"/>
  <c r="M60" i="1"/>
  <c r="L60" i="1"/>
  <c r="K60" i="1"/>
  <c r="J60" i="1"/>
  <c r="I60" i="1"/>
  <c r="O59" i="1"/>
  <c r="N59" i="1"/>
  <c r="M59" i="1"/>
  <c r="L59" i="1"/>
  <c r="K59" i="1"/>
  <c r="J59" i="1"/>
  <c r="I59" i="1"/>
  <c r="O58" i="1"/>
  <c r="N58" i="1"/>
  <c r="M58" i="1"/>
  <c r="L58" i="1"/>
  <c r="K58" i="1"/>
  <c r="J58" i="1"/>
  <c r="I58" i="1"/>
  <c r="O57" i="1"/>
  <c r="N57" i="1"/>
  <c r="M57" i="1"/>
  <c r="L57" i="1"/>
  <c r="K57" i="1"/>
  <c r="J57" i="1"/>
  <c r="I57" i="1"/>
  <c r="O56" i="1"/>
  <c r="N56" i="1"/>
  <c r="M56" i="1"/>
  <c r="L56" i="1"/>
  <c r="K56" i="1"/>
  <c r="J56" i="1"/>
  <c r="I56" i="1"/>
  <c r="O55" i="1"/>
  <c r="N55" i="1"/>
  <c r="M55" i="1"/>
  <c r="L55" i="1"/>
  <c r="K55" i="1"/>
  <c r="J55" i="1"/>
  <c r="I55" i="1"/>
  <c r="O54" i="1"/>
  <c r="N54" i="1"/>
  <c r="M54" i="1"/>
  <c r="L54" i="1"/>
  <c r="K54" i="1"/>
  <c r="J54" i="1"/>
  <c r="I54" i="1"/>
  <c r="O53" i="1"/>
  <c r="N53" i="1"/>
  <c r="M53" i="1"/>
  <c r="L53" i="1"/>
  <c r="K53" i="1"/>
  <c r="J53" i="1"/>
  <c r="I53" i="1"/>
  <c r="O52" i="1"/>
  <c r="N52" i="1"/>
  <c r="M52" i="1"/>
  <c r="L52" i="1"/>
  <c r="K52" i="1"/>
  <c r="J52" i="1"/>
  <c r="I52" i="1"/>
  <c r="O51" i="1"/>
  <c r="N51" i="1"/>
  <c r="M51" i="1"/>
  <c r="L51" i="1"/>
  <c r="K51" i="1"/>
  <c r="J51" i="1"/>
  <c r="I51" i="1"/>
  <c r="O50" i="1"/>
  <c r="N50" i="1"/>
  <c r="M50" i="1"/>
  <c r="L50" i="1"/>
  <c r="K50" i="1"/>
  <c r="J50" i="1"/>
  <c r="I50" i="1"/>
  <c r="O49" i="1"/>
  <c r="N49" i="1"/>
  <c r="M49" i="1"/>
  <c r="L49" i="1"/>
  <c r="K49" i="1"/>
  <c r="J49" i="1"/>
  <c r="I49" i="1"/>
  <c r="O48" i="1"/>
  <c r="N48" i="1"/>
  <c r="M48" i="1"/>
  <c r="L48" i="1"/>
  <c r="K48" i="1"/>
  <c r="J48" i="1"/>
  <c r="I48" i="1"/>
  <c r="O47" i="1"/>
  <c r="N47" i="1"/>
  <c r="M47" i="1"/>
  <c r="L47" i="1"/>
  <c r="K47" i="1"/>
  <c r="J47" i="1"/>
  <c r="I47" i="1"/>
  <c r="O46" i="1"/>
  <c r="N46" i="1"/>
  <c r="M46" i="1"/>
  <c r="L46" i="1"/>
  <c r="K46" i="1"/>
  <c r="J46" i="1"/>
  <c r="I46" i="1"/>
  <c r="O45" i="1"/>
  <c r="N45" i="1"/>
  <c r="M45" i="1"/>
  <c r="L45" i="1"/>
  <c r="K45" i="1"/>
  <c r="J45" i="1"/>
  <c r="I45" i="1"/>
  <c r="O44" i="1"/>
  <c r="N44" i="1"/>
  <c r="M44" i="1"/>
  <c r="L44" i="1"/>
  <c r="K44" i="1"/>
  <c r="J44" i="1"/>
  <c r="I44" i="1"/>
  <c r="O43" i="1"/>
  <c r="N43" i="1"/>
  <c r="M43" i="1"/>
  <c r="L43" i="1"/>
  <c r="K43" i="1"/>
  <c r="J43" i="1"/>
  <c r="I43" i="1"/>
  <c r="O42" i="1"/>
  <c r="N42" i="1"/>
  <c r="M42" i="1"/>
  <c r="L42" i="1"/>
  <c r="K42" i="1"/>
  <c r="J42" i="1"/>
  <c r="I42" i="1"/>
  <c r="O41" i="1"/>
  <c r="N41" i="1"/>
  <c r="M41" i="1"/>
  <c r="L41" i="1"/>
  <c r="K41" i="1"/>
  <c r="J41" i="1"/>
  <c r="I41" i="1"/>
  <c r="O40" i="1"/>
  <c r="N40" i="1"/>
  <c r="M40" i="1"/>
  <c r="L40" i="1"/>
  <c r="K40" i="1"/>
  <c r="J40" i="1"/>
  <c r="I40" i="1"/>
  <c r="O39" i="1"/>
  <c r="N39" i="1"/>
  <c r="M39" i="1"/>
  <c r="L39" i="1"/>
  <c r="K39" i="1"/>
  <c r="J39" i="1"/>
  <c r="I39" i="1"/>
  <c r="O38" i="1"/>
  <c r="N38" i="1"/>
  <c r="M38" i="1"/>
  <c r="L38" i="1"/>
  <c r="K38" i="1"/>
  <c r="J38" i="1"/>
  <c r="I38" i="1"/>
  <c r="O37" i="1"/>
  <c r="N37" i="1"/>
  <c r="M37" i="1"/>
  <c r="L37" i="1"/>
  <c r="K37" i="1"/>
  <c r="J37" i="1"/>
  <c r="I37" i="1"/>
  <c r="O36" i="1"/>
  <c r="N36" i="1"/>
  <c r="M36" i="1"/>
  <c r="L36" i="1"/>
  <c r="K36" i="1"/>
  <c r="J36" i="1"/>
  <c r="I36" i="1"/>
  <c r="O35" i="1"/>
  <c r="N35" i="1"/>
  <c r="M35" i="1"/>
  <c r="L35" i="1"/>
  <c r="K35" i="1"/>
  <c r="J35" i="1"/>
  <c r="I35" i="1"/>
  <c r="O34" i="1"/>
  <c r="N34" i="1"/>
  <c r="M34" i="1"/>
  <c r="L34" i="1"/>
  <c r="K34" i="1"/>
  <c r="J34" i="1"/>
  <c r="I34" i="1"/>
  <c r="O33" i="1"/>
  <c r="N33" i="1"/>
  <c r="M33" i="1"/>
  <c r="L33" i="1"/>
  <c r="K33" i="1"/>
  <c r="J33" i="1"/>
  <c r="I33" i="1"/>
  <c r="O32" i="1"/>
  <c r="N32" i="1"/>
  <c r="M32" i="1"/>
  <c r="L32" i="1"/>
  <c r="K32" i="1"/>
  <c r="J32" i="1"/>
  <c r="I32" i="1"/>
  <c r="O31" i="1"/>
  <c r="N31" i="1"/>
  <c r="M31" i="1"/>
  <c r="L31" i="1"/>
  <c r="K31" i="1"/>
  <c r="J31" i="1"/>
  <c r="I31" i="1"/>
  <c r="O30" i="1"/>
  <c r="N30" i="1"/>
  <c r="M30" i="1"/>
  <c r="L30" i="1"/>
  <c r="K30" i="1"/>
  <c r="J30" i="1"/>
  <c r="I30" i="1"/>
  <c r="O29" i="1"/>
  <c r="N29" i="1"/>
  <c r="M29" i="1"/>
  <c r="L29" i="1"/>
  <c r="K29" i="1"/>
  <c r="J29" i="1"/>
  <c r="I29" i="1"/>
  <c r="O28" i="1"/>
  <c r="N28" i="1"/>
  <c r="M28" i="1"/>
  <c r="L28" i="1"/>
  <c r="K28" i="1"/>
  <c r="J28" i="1"/>
  <c r="I28" i="1"/>
  <c r="O27" i="1"/>
  <c r="N27" i="1"/>
  <c r="M27" i="1"/>
  <c r="L27" i="1"/>
  <c r="K27" i="1"/>
  <c r="J27" i="1"/>
  <c r="I27" i="1"/>
  <c r="O26" i="1"/>
  <c r="N26" i="1"/>
  <c r="M26" i="1"/>
  <c r="L26" i="1"/>
  <c r="K26" i="1"/>
  <c r="J26" i="1"/>
  <c r="I26" i="1"/>
  <c r="O25" i="1"/>
  <c r="N25" i="1"/>
  <c r="M25" i="1"/>
  <c r="L25" i="1"/>
  <c r="K25" i="1"/>
  <c r="J25" i="1"/>
  <c r="I25" i="1"/>
  <c r="O24" i="1"/>
  <c r="N24" i="1"/>
  <c r="M24" i="1"/>
  <c r="L24" i="1"/>
  <c r="K24" i="1"/>
  <c r="J24" i="1"/>
  <c r="I24" i="1"/>
  <c r="O23" i="1"/>
  <c r="N23" i="1"/>
  <c r="M23" i="1"/>
  <c r="L23" i="1"/>
  <c r="K23" i="1"/>
  <c r="J23" i="1"/>
  <c r="I23" i="1"/>
  <c r="O22" i="1"/>
  <c r="N22" i="1"/>
  <c r="M22" i="1"/>
  <c r="L22" i="1"/>
  <c r="K22" i="1"/>
  <c r="J22" i="1"/>
  <c r="I22" i="1"/>
  <c r="O21" i="1"/>
  <c r="N21" i="1"/>
  <c r="M21" i="1"/>
  <c r="L21" i="1"/>
  <c r="K21" i="1"/>
  <c r="J21" i="1"/>
  <c r="I21" i="1"/>
  <c r="O20" i="1"/>
  <c r="N20" i="1"/>
  <c r="M20" i="1"/>
  <c r="L20" i="1"/>
  <c r="K20" i="1"/>
  <c r="J20" i="1"/>
  <c r="I20" i="1"/>
  <c r="O19" i="1"/>
  <c r="N19" i="1"/>
  <c r="M19" i="1"/>
  <c r="L19" i="1"/>
  <c r="K19" i="1"/>
  <c r="J19" i="1"/>
  <c r="I19" i="1"/>
  <c r="O18" i="1"/>
  <c r="N18" i="1"/>
  <c r="M18" i="1"/>
  <c r="L18" i="1"/>
  <c r="K18" i="1"/>
  <c r="J18" i="1"/>
  <c r="I18" i="1"/>
  <c r="O17" i="1"/>
  <c r="N17" i="1"/>
  <c r="M17" i="1"/>
  <c r="L17" i="1"/>
  <c r="K17" i="1"/>
  <c r="J17" i="1"/>
  <c r="I17" i="1"/>
  <c r="O16" i="1"/>
  <c r="N16" i="1"/>
  <c r="M16" i="1"/>
  <c r="L16" i="1"/>
  <c r="K16" i="1"/>
  <c r="J16" i="1"/>
  <c r="I16" i="1"/>
  <c r="O15" i="1"/>
  <c r="N15" i="1"/>
  <c r="M15" i="1"/>
  <c r="L15" i="1"/>
  <c r="K15" i="1"/>
  <c r="J15" i="1"/>
  <c r="I15" i="1"/>
  <c r="O14" i="1"/>
  <c r="N14" i="1"/>
  <c r="M14" i="1"/>
  <c r="L14" i="1"/>
  <c r="K14" i="1"/>
  <c r="J14" i="1"/>
  <c r="I14" i="1"/>
  <c r="O13" i="1"/>
  <c r="N13" i="1"/>
  <c r="M13" i="1"/>
  <c r="L13" i="1"/>
  <c r="K13" i="1"/>
  <c r="J13" i="1"/>
  <c r="I13" i="1"/>
  <c r="O12" i="1"/>
  <c r="N12" i="1"/>
  <c r="M12" i="1"/>
  <c r="L12" i="1"/>
  <c r="K12" i="1"/>
  <c r="J12" i="1"/>
  <c r="I12" i="1"/>
  <c r="O11" i="1"/>
  <c r="N11" i="1"/>
  <c r="M11" i="1"/>
  <c r="L11" i="1"/>
  <c r="K11" i="1"/>
  <c r="J11" i="1"/>
  <c r="I11" i="1"/>
  <c r="O10" i="1"/>
  <c r="N10" i="1"/>
  <c r="M10" i="1"/>
  <c r="L10" i="1"/>
  <c r="K10" i="1"/>
  <c r="J10" i="1"/>
  <c r="I10" i="1"/>
  <c r="O9" i="1"/>
  <c r="N9" i="1"/>
  <c r="M9" i="1"/>
  <c r="L9" i="1"/>
  <c r="K9" i="1"/>
  <c r="U3" i="1" s="1"/>
  <c r="J9" i="1"/>
  <c r="I9" i="1"/>
  <c r="O8" i="1"/>
  <c r="N8" i="1"/>
  <c r="M8" i="1"/>
  <c r="L8" i="1"/>
  <c r="K8" i="1"/>
  <c r="J8" i="1"/>
  <c r="T3" i="1" s="1"/>
  <c r="I8" i="1"/>
  <c r="O7" i="1"/>
  <c r="N7" i="1"/>
  <c r="M7" i="1"/>
  <c r="L7" i="1"/>
  <c r="K7" i="1"/>
  <c r="J7" i="1"/>
  <c r="I7" i="1"/>
  <c r="O6" i="1"/>
  <c r="N6" i="1"/>
  <c r="M6" i="1"/>
  <c r="L6" i="1"/>
  <c r="K6" i="1"/>
  <c r="J6" i="1"/>
  <c r="I6" i="1"/>
  <c r="S3" i="1" s="1"/>
  <c r="O5" i="1"/>
  <c r="N5" i="1"/>
  <c r="M5" i="1"/>
  <c r="L5" i="1"/>
  <c r="K5" i="1"/>
  <c r="J5" i="1"/>
  <c r="I5" i="1"/>
  <c r="O64" i="3"/>
  <c r="N64" i="3"/>
  <c r="M64" i="3"/>
  <c r="L64" i="3"/>
  <c r="K64" i="3"/>
  <c r="J64" i="3"/>
  <c r="I64" i="3"/>
  <c r="O63" i="3"/>
  <c r="N63" i="3"/>
  <c r="M63" i="3"/>
  <c r="L63" i="3"/>
  <c r="K63" i="3"/>
  <c r="J63" i="3"/>
  <c r="I63" i="3"/>
  <c r="O62" i="3"/>
  <c r="N62" i="3"/>
  <c r="M62" i="3"/>
  <c r="L62" i="3"/>
  <c r="K62" i="3"/>
  <c r="J62" i="3"/>
  <c r="I62" i="3"/>
  <c r="O61" i="3"/>
  <c r="N61" i="3"/>
  <c r="M61" i="3"/>
  <c r="L61" i="3"/>
  <c r="K61" i="3"/>
  <c r="J61" i="3"/>
  <c r="I61" i="3"/>
  <c r="O60" i="3"/>
  <c r="N60" i="3"/>
  <c r="M60" i="3"/>
  <c r="L60" i="3"/>
  <c r="K60" i="3"/>
  <c r="J60" i="3"/>
  <c r="I60" i="3"/>
  <c r="O59" i="3"/>
  <c r="N59" i="3"/>
  <c r="M59" i="3"/>
  <c r="L59" i="3"/>
  <c r="K59" i="3"/>
  <c r="J59" i="3"/>
  <c r="I59" i="3"/>
  <c r="O58" i="3"/>
  <c r="N58" i="3"/>
  <c r="M58" i="3"/>
  <c r="L58" i="3"/>
  <c r="K58" i="3"/>
  <c r="J58" i="3"/>
  <c r="I58" i="3"/>
  <c r="O57" i="3"/>
  <c r="N57" i="3"/>
  <c r="M57" i="3"/>
  <c r="L57" i="3"/>
  <c r="K57" i="3"/>
  <c r="J57" i="3"/>
  <c r="I57" i="3"/>
  <c r="O56" i="3"/>
  <c r="N56" i="3"/>
  <c r="M56" i="3"/>
  <c r="L56" i="3"/>
  <c r="K56" i="3"/>
  <c r="J56" i="3"/>
  <c r="I56" i="3"/>
  <c r="O55" i="3"/>
  <c r="N55" i="3"/>
  <c r="M55" i="3"/>
  <c r="L55" i="3"/>
  <c r="K55" i="3"/>
  <c r="J55" i="3"/>
  <c r="I55" i="3"/>
  <c r="O54" i="3"/>
  <c r="N54" i="3"/>
  <c r="M54" i="3"/>
  <c r="L54" i="3"/>
  <c r="K54" i="3"/>
  <c r="J54" i="3"/>
  <c r="I54" i="3"/>
  <c r="O53" i="3"/>
  <c r="N53" i="3"/>
  <c r="M53" i="3"/>
  <c r="L53" i="3"/>
  <c r="K53" i="3"/>
  <c r="J53" i="3"/>
  <c r="I53" i="3"/>
  <c r="O52" i="3"/>
  <c r="N52" i="3"/>
  <c r="M52" i="3"/>
  <c r="L52" i="3"/>
  <c r="K52" i="3"/>
  <c r="J52" i="3"/>
  <c r="I52" i="3"/>
  <c r="O51" i="3"/>
  <c r="N51" i="3"/>
  <c r="M51" i="3"/>
  <c r="L51" i="3"/>
  <c r="K51" i="3"/>
  <c r="J51" i="3"/>
  <c r="I51" i="3"/>
  <c r="O50" i="3"/>
  <c r="N50" i="3"/>
  <c r="M50" i="3"/>
  <c r="L50" i="3"/>
  <c r="K50" i="3"/>
  <c r="J50" i="3"/>
  <c r="I50" i="3"/>
  <c r="O49" i="3"/>
  <c r="N49" i="3"/>
  <c r="M49" i="3"/>
  <c r="L49" i="3"/>
  <c r="K49" i="3"/>
  <c r="J49" i="3"/>
  <c r="I49" i="3"/>
  <c r="O48" i="3"/>
  <c r="N48" i="3"/>
  <c r="M48" i="3"/>
  <c r="L48" i="3"/>
  <c r="K48" i="3"/>
  <c r="J48" i="3"/>
  <c r="I48" i="3"/>
  <c r="O47" i="3"/>
  <c r="N47" i="3"/>
  <c r="M47" i="3"/>
  <c r="L47" i="3"/>
  <c r="K47" i="3"/>
  <c r="J47" i="3"/>
  <c r="I47" i="3"/>
  <c r="O46" i="3"/>
  <c r="N46" i="3"/>
  <c r="M46" i="3"/>
  <c r="L46" i="3"/>
  <c r="K46" i="3"/>
  <c r="J46" i="3"/>
  <c r="I46" i="3"/>
  <c r="O45" i="3"/>
  <c r="N45" i="3"/>
  <c r="M45" i="3"/>
  <c r="L45" i="3"/>
  <c r="K45" i="3"/>
  <c r="J45" i="3"/>
  <c r="I45" i="3"/>
  <c r="O44" i="3"/>
  <c r="N44" i="3"/>
  <c r="M44" i="3"/>
  <c r="L44" i="3"/>
  <c r="K44" i="3"/>
  <c r="J44" i="3"/>
  <c r="I44" i="3"/>
  <c r="O43" i="3"/>
  <c r="N43" i="3"/>
  <c r="M43" i="3"/>
  <c r="L43" i="3"/>
  <c r="K43" i="3"/>
  <c r="J43" i="3"/>
  <c r="I43" i="3"/>
  <c r="O42" i="3"/>
  <c r="N42" i="3"/>
  <c r="M42" i="3"/>
  <c r="L42" i="3"/>
  <c r="K42" i="3"/>
  <c r="J42" i="3"/>
  <c r="I42" i="3"/>
  <c r="O41" i="3"/>
  <c r="N41" i="3"/>
  <c r="M41" i="3"/>
  <c r="L41" i="3"/>
  <c r="K41" i="3"/>
  <c r="J41" i="3"/>
  <c r="I41" i="3"/>
  <c r="O40" i="3"/>
  <c r="N40" i="3"/>
  <c r="M40" i="3"/>
  <c r="L40" i="3"/>
  <c r="K40" i="3"/>
  <c r="J40" i="3"/>
  <c r="I40" i="3"/>
  <c r="O39" i="3"/>
  <c r="N39" i="3"/>
  <c r="M39" i="3"/>
  <c r="L39" i="3"/>
  <c r="K39" i="3"/>
  <c r="J39" i="3"/>
  <c r="I39" i="3"/>
  <c r="O38" i="3"/>
  <c r="N38" i="3"/>
  <c r="M38" i="3"/>
  <c r="L38" i="3"/>
  <c r="K38" i="3"/>
  <c r="J38" i="3"/>
  <c r="I38" i="3"/>
  <c r="O37" i="3"/>
  <c r="N37" i="3"/>
  <c r="M37" i="3"/>
  <c r="L37" i="3"/>
  <c r="K37" i="3"/>
  <c r="J37" i="3"/>
  <c r="I37" i="3"/>
  <c r="O36" i="3"/>
  <c r="N36" i="3"/>
  <c r="M36" i="3"/>
  <c r="L36" i="3"/>
  <c r="K36" i="3"/>
  <c r="J36" i="3"/>
  <c r="I36" i="3"/>
  <c r="O35" i="3"/>
  <c r="N35" i="3"/>
  <c r="M35" i="3"/>
  <c r="L35" i="3"/>
  <c r="K35" i="3"/>
  <c r="J35" i="3"/>
  <c r="I35" i="3"/>
  <c r="O34" i="3"/>
  <c r="N34" i="3"/>
  <c r="M34" i="3"/>
  <c r="L34" i="3"/>
  <c r="K34" i="3"/>
  <c r="J34" i="3"/>
  <c r="I34" i="3"/>
  <c r="O33" i="3"/>
  <c r="N33" i="3"/>
  <c r="M33" i="3"/>
  <c r="L33" i="3"/>
  <c r="K33" i="3"/>
  <c r="J33" i="3"/>
  <c r="I33" i="3"/>
  <c r="O32" i="3"/>
  <c r="N32" i="3"/>
  <c r="M32" i="3"/>
  <c r="L32" i="3"/>
  <c r="K32" i="3"/>
  <c r="J32" i="3"/>
  <c r="I32" i="3"/>
  <c r="O31" i="3"/>
  <c r="N31" i="3"/>
  <c r="M31" i="3"/>
  <c r="L31" i="3"/>
  <c r="K31" i="3"/>
  <c r="J31" i="3"/>
  <c r="I31" i="3"/>
  <c r="O30" i="3"/>
  <c r="N30" i="3"/>
  <c r="M30" i="3"/>
  <c r="L30" i="3"/>
  <c r="K30" i="3"/>
  <c r="J30" i="3"/>
  <c r="I30" i="3"/>
  <c r="O29" i="3"/>
  <c r="N29" i="3"/>
  <c r="M29" i="3"/>
  <c r="L29" i="3"/>
  <c r="K29" i="3"/>
  <c r="J29" i="3"/>
  <c r="I29" i="3"/>
  <c r="O28" i="3"/>
  <c r="N28" i="3"/>
  <c r="M28" i="3"/>
  <c r="L28" i="3"/>
  <c r="K28" i="3"/>
  <c r="J28" i="3"/>
  <c r="I28" i="3"/>
  <c r="O27" i="3"/>
  <c r="N27" i="3"/>
  <c r="M27" i="3"/>
  <c r="L27" i="3"/>
  <c r="K27" i="3"/>
  <c r="J27" i="3"/>
  <c r="I27" i="3"/>
  <c r="O26" i="3"/>
  <c r="N26" i="3"/>
  <c r="M26" i="3"/>
  <c r="L26" i="3"/>
  <c r="K26" i="3"/>
  <c r="J26" i="3"/>
  <c r="I26" i="3"/>
  <c r="O25" i="3"/>
  <c r="N25" i="3"/>
  <c r="M25" i="3"/>
  <c r="L25" i="3"/>
  <c r="K25" i="3"/>
  <c r="J25" i="3"/>
  <c r="I25" i="3"/>
  <c r="O24" i="3"/>
  <c r="N24" i="3"/>
  <c r="M24" i="3"/>
  <c r="L24" i="3"/>
  <c r="K24" i="3"/>
  <c r="J24" i="3"/>
  <c r="I24" i="3"/>
  <c r="O23" i="3"/>
  <c r="N23" i="3"/>
  <c r="M23" i="3"/>
  <c r="L23" i="3"/>
  <c r="K23" i="3"/>
  <c r="J23" i="3"/>
  <c r="I23" i="3"/>
  <c r="O22" i="3"/>
  <c r="N22" i="3"/>
  <c r="M22" i="3"/>
  <c r="L22" i="3"/>
  <c r="K22" i="3"/>
  <c r="J22" i="3"/>
  <c r="I22" i="3"/>
  <c r="O21" i="3"/>
  <c r="N21" i="3"/>
  <c r="M21" i="3"/>
  <c r="L21" i="3"/>
  <c r="K21" i="3"/>
  <c r="J21" i="3"/>
  <c r="I21" i="3"/>
  <c r="O20" i="3"/>
  <c r="N20" i="3"/>
  <c r="M20" i="3"/>
  <c r="L20" i="3"/>
  <c r="K20" i="3"/>
  <c r="J20" i="3"/>
  <c r="I20" i="3"/>
  <c r="O19" i="3"/>
  <c r="N19" i="3"/>
  <c r="M19" i="3"/>
  <c r="L19" i="3"/>
  <c r="K19" i="3"/>
  <c r="J19" i="3"/>
  <c r="I19" i="3"/>
  <c r="O18" i="3"/>
  <c r="N18" i="3"/>
  <c r="M18" i="3"/>
  <c r="L18" i="3"/>
  <c r="K18" i="3"/>
  <c r="J18" i="3"/>
  <c r="I18" i="3"/>
  <c r="O17" i="3"/>
  <c r="N17" i="3"/>
  <c r="M17" i="3"/>
  <c r="L17" i="3"/>
  <c r="K17" i="3"/>
  <c r="J17" i="3"/>
  <c r="I17" i="3"/>
  <c r="O16" i="3"/>
  <c r="N16" i="3"/>
  <c r="M16" i="3"/>
  <c r="L16" i="3"/>
  <c r="K16" i="3"/>
  <c r="J16" i="3"/>
  <c r="I16" i="3"/>
  <c r="O15" i="3"/>
  <c r="N15" i="3"/>
  <c r="M15" i="3"/>
  <c r="L15" i="3"/>
  <c r="K15" i="3"/>
  <c r="J15" i="3"/>
  <c r="I15" i="3"/>
  <c r="O14" i="3"/>
  <c r="N14" i="3"/>
  <c r="M14" i="3"/>
  <c r="L14" i="3"/>
  <c r="K14" i="3"/>
  <c r="J14" i="3"/>
  <c r="I14" i="3"/>
  <c r="O13" i="3"/>
  <c r="N13" i="3"/>
  <c r="M13" i="3"/>
  <c r="L13" i="3"/>
  <c r="K13" i="3"/>
  <c r="J13" i="3"/>
  <c r="I13" i="3"/>
  <c r="O12" i="3"/>
  <c r="N12" i="3"/>
  <c r="M12" i="3"/>
  <c r="L12" i="3"/>
  <c r="K12" i="3"/>
  <c r="J12" i="3"/>
  <c r="I12" i="3"/>
  <c r="O11" i="3"/>
  <c r="N11" i="3"/>
  <c r="M11" i="3"/>
  <c r="L11" i="3"/>
  <c r="K11" i="3"/>
  <c r="J11" i="3"/>
  <c r="I11" i="3"/>
  <c r="O10" i="3"/>
  <c r="N10" i="3"/>
  <c r="M10" i="3"/>
  <c r="L10" i="3"/>
  <c r="K10" i="3"/>
  <c r="J10" i="3"/>
  <c r="I10" i="3"/>
  <c r="O9" i="3"/>
  <c r="N9" i="3"/>
  <c r="M9" i="3"/>
  <c r="L9" i="3"/>
  <c r="K9" i="3"/>
  <c r="J9" i="3"/>
  <c r="I9" i="3"/>
  <c r="O8" i="3"/>
  <c r="N8" i="3"/>
  <c r="M8" i="3"/>
  <c r="L8" i="3"/>
  <c r="K8" i="3"/>
  <c r="J8" i="3"/>
  <c r="I8" i="3"/>
  <c r="O7" i="3"/>
  <c r="N7" i="3"/>
  <c r="M7" i="3"/>
  <c r="L7" i="3"/>
  <c r="K7" i="3"/>
  <c r="J7" i="3"/>
  <c r="I7" i="3"/>
  <c r="O6" i="3"/>
  <c r="N6" i="3"/>
  <c r="M6" i="3"/>
  <c r="L6" i="3"/>
  <c r="K6" i="3"/>
  <c r="J6" i="3"/>
  <c r="I6" i="3"/>
  <c r="O5" i="3"/>
  <c r="N5" i="3"/>
  <c r="M5" i="3"/>
  <c r="L5" i="3"/>
  <c r="K5" i="3"/>
  <c r="U3" i="3" s="1"/>
  <c r="J5" i="3"/>
  <c r="I5" i="3"/>
  <c r="S25" i="3"/>
  <c r="S33" i="1"/>
  <c r="T27" i="1"/>
  <c r="T25" i="1"/>
  <c r="S27" i="1" a="1"/>
  <c r="S27" i="1" s="1"/>
  <c r="S25" i="1"/>
  <c r="Y3" i="1"/>
  <c r="S3" i="3" l="1"/>
  <c r="W3" i="1"/>
  <c r="X3" i="1"/>
  <c r="T3" i="3"/>
  <c r="W3" i="3"/>
  <c r="X3" i="3"/>
  <c r="V3" i="3"/>
  <c r="Y3" i="3"/>
  <c r="V3" i="1"/>
  <c r="S8" i="1" s="1" a="1"/>
  <c r="S8" i="3" a="1"/>
  <c r="S34" i="1" a="1"/>
  <c r="S34" i="1" s="1"/>
  <c r="T39" i="1" s="1"/>
  <c r="V13" i="1" l="1"/>
  <c r="W9" i="1"/>
  <c r="V12" i="1"/>
  <c r="Y8" i="1"/>
  <c r="Y10" i="1"/>
  <c r="X13" i="1"/>
  <c r="V8" i="1"/>
  <c r="U9" i="1"/>
  <c r="Y14" i="1"/>
  <c r="T12" i="1"/>
  <c r="X11" i="1"/>
  <c r="W14" i="1"/>
  <c r="X12" i="1"/>
  <c r="U8" i="1"/>
  <c r="U10" i="1"/>
  <c r="Y9" i="1"/>
  <c r="Y13" i="1"/>
  <c r="V10" i="1"/>
  <c r="V14" i="1"/>
  <c r="X10" i="1"/>
  <c r="S8" i="1"/>
  <c r="X8" i="1"/>
  <c r="W11" i="1"/>
  <c r="T8" i="1"/>
  <c r="T28" i="1" s="1" a="1"/>
  <c r="T28" i="1" s="1"/>
  <c r="U13" i="1"/>
  <c r="S14" i="1"/>
  <c r="U12" i="1"/>
  <c r="S13" i="1"/>
  <c r="Y11" i="1"/>
  <c r="S10" i="1"/>
  <c r="U14" i="1"/>
  <c r="S12" i="1"/>
  <c r="Y12" i="1"/>
  <c r="U11" i="1"/>
  <c r="T13" i="1"/>
  <c r="W8" i="1"/>
  <c r="T9" i="1"/>
  <c r="V11" i="1"/>
  <c r="T10" i="1"/>
  <c r="X9" i="1"/>
  <c r="T14" i="1"/>
  <c r="X14" i="1"/>
  <c r="T11" i="1"/>
  <c r="W13" i="1"/>
  <c r="W10" i="1"/>
  <c r="W12" i="1"/>
  <c r="S11" i="1"/>
  <c r="V9" i="1"/>
  <c r="S9" i="1"/>
  <c r="S8" i="3"/>
  <c r="T9" i="3"/>
  <c r="U10" i="3"/>
  <c r="V11" i="3"/>
  <c r="W12" i="3"/>
  <c r="X13" i="3"/>
  <c r="Y14" i="3"/>
  <c r="T8" i="3"/>
  <c r="U9" i="3"/>
  <c r="V10" i="3"/>
  <c r="W11" i="3"/>
  <c r="X12" i="3"/>
  <c r="Y13" i="3"/>
  <c r="U8" i="3"/>
  <c r="V9" i="3"/>
  <c r="W10" i="3"/>
  <c r="X11" i="3"/>
  <c r="Y12" i="3"/>
  <c r="S14" i="3"/>
  <c r="V8" i="3"/>
  <c r="W9" i="3"/>
  <c r="X10" i="3"/>
  <c r="Y11" i="3"/>
  <c r="S13" i="3"/>
  <c r="T14" i="3"/>
  <c r="T10" i="3"/>
  <c r="V12" i="3"/>
  <c r="X14" i="3"/>
  <c r="W8" i="3"/>
  <c r="X9" i="3"/>
  <c r="Y10" i="3"/>
  <c r="S12" i="3"/>
  <c r="T13" i="3"/>
  <c r="U14" i="3"/>
  <c r="X8" i="3"/>
  <c r="Y9" i="3"/>
  <c r="S11" i="3"/>
  <c r="T12" i="3"/>
  <c r="U13" i="3"/>
  <c r="V14" i="3"/>
  <c r="S9" i="3"/>
  <c r="U11" i="3"/>
  <c r="W13" i="3"/>
  <c r="Y8" i="3"/>
  <c r="S10" i="3"/>
  <c r="T11" i="3"/>
  <c r="U12" i="3"/>
  <c r="V13" i="3"/>
  <c r="W14" i="3"/>
  <c r="S28" i="3" l="1" a="1"/>
  <c r="S28" i="3" s="1"/>
  <c r="T29" i="1" a="1"/>
  <c r="T29" i="1" s="1"/>
  <c r="S28" i="1" a="1"/>
  <c r="S28" i="1" s="1"/>
  <c r="S35" i="1" s="1"/>
  <c r="S36" i="1" s="1"/>
  <c r="S3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Dai, Yingtong</author>
  </authors>
  <commentList>
    <comment ref="S3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=AVERAGE(I5:I64)</t>
        </r>
      </text>
    </comment>
    <comment ref="S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=MMULT(TRANSPOSE(I5:O64-S3:Y3),I5:O64-S3:Y3)/(COUNT(O5:O64)-1)</t>
        </r>
      </text>
    </comment>
    <comment ref="S1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Global minimum variance portfolio: Set Obejective as Variance of P1 (S28) to be Minimum by changing the wights of P1(S17:S23), subject to one constraint that the sum of weights of P1 (S25) is equal to 1</t>
        </r>
      </text>
    </comment>
    <comment ref="T1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 xml:space="preserve">Minimum variance portfolio: Set Obejective as Variance of P2 (T28) to be Minimum by changing the wights of P1(T17:T23), subject to two constraints, 
</t>
        </r>
        <r>
          <rPr>
            <b/>
            <sz val="9"/>
            <color rgb="FF000000"/>
            <rFont val="Tahoma"/>
            <family val="2"/>
          </rPr>
          <t xml:space="preserve">1) the sum of weights of P1 (T25) is equal to 1
</t>
        </r>
        <r>
          <rPr>
            <b/>
            <sz val="9"/>
            <color rgb="FF000000"/>
            <rFont val="Tahoma"/>
            <family val="2"/>
          </rPr>
          <t>2) The expected return of P2 (T27) is equal to the target expected return (T30)</t>
        </r>
      </text>
    </comment>
    <comment ref="S25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=SUM(S17:S23)</t>
        </r>
      </text>
    </comment>
    <comment ref="S2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=MMULT(S4:Y4,S17:S23)</t>
        </r>
      </text>
    </comment>
    <comment ref="S28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=MMULT(TRANSPOSE(S17:S23),MMULT(S8:Y14,S17:S23))</t>
        </r>
      </text>
    </comment>
    <comment ref="T29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=MMULT(TRANSPOSE(S17:S23),MMULT(S8:Y14,T17:T23))</t>
        </r>
      </text>
    </comment>
    <comment ref="S33" authorId="0" shapeId="0" xr:uid="{00000000-0006-0000-0000-000009000000}">
      <text>
        <r>
          <rPr>
            <b/>
            <sz val="9"/>
            <color rgb="FF000000"/>
            <rFont val="Tahoma"/>
            <family val="2"/>
          </rPr>
          <t>=1-S32</t>
        </r>
      </text>
    </comment>
    <comment ref="S34" authorId="0" shapeId="0" xr:uid="{00000000-0006-0000-0000-00000A000000}">
      <text>
        <r>
          <rPr>
            <b/>
            <sz val="9"/>
            <color rgb="FF000000"/>
            <rFont val="Tahoma"/>
            <family val="2"/>
          </rPr>
          <t>=MMULT(S27:T27,S32:S33)</t>
        </r>
      </text>
    </comment>
    <comment ref="S35" authorId="0" shapeId="0" xr:uid="{00000000-0006-0000-0000-00000B000000}">
      <text>
        <r>
          <rPr>
            <b/>
            <sz val="9"/>
            <color rgb="FF000000"/>
            <rFont val="Tahoma"/>
            <family val="2"/>
          </rPr>
          <t>=S32^2*S28+S33^2*T28+2*S32*S33*T29</t>
        </r>
      </text>
    </comment>
    <comment ref="S36" authorId="0" shapeId="0" xr:uid="{00000000-0006-0000-0000-00000C000000}">
      <text>
        <r>
          <rPr>
            <b/>
            <sz val="9"/>
            <color rgb="FF000000"/>
            <rFont val="Tahoma"/>
            <family val="2"/>
          </rPr>
          <t>=SQRT(S35)</t>
        </r>
      </text>
    </comment>
    <comment ref="S39" authorId="0" shapeId="0" xr:uid="{00000000-0006-0000-0000-00000D000000}">
      <text>
        <r>
          <rPr>
            <b/>
            <sz val="9"/>
            <color rgb="FF000000"/>
            <rFont val="Tahoma"/>
            <family val="2"/>
          </rPr>
          <t>=S36</t>
        </r>
      </text>
    </comment>
    <comment ref="T39" authorId="0" shapeId="0" xr:uid="{00000000-0006-0000-0000-00000E000000}">
      <text>
        <r>
          <rPr>
            <b/>
            <sz val="9"/>
            <color rgb="FF000000"/>
            <rFont val="Tahoma"/>
            <family val="2"/>
          </rPr>
          <t>=S34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Harris</author>
    <author>Dai, Yingtong</author>
  </authors>
  <commentList>
    <comment ref="S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=AVERAGE(I4:I63)</t>
        </r>
      </text>
    </comment>
    <comment ref="S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=MMULT(TRANSPOSE(I4:O63-S3:Y3),I4:O63-S3:Y3)/(COUNT(O4:O63)-1)</t>
        </r>
      </text>
    </comment>
    <comment ref="S25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=SUM(S17:S23)</t>
        </r>
      </text>
    </comment>
    <comment ref="S27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=MMULT(S4:Y4,S17:S23)</t>
        </r>
      </text>
    </comment>
    <comment ref="S28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=MMULT(TRANSPOSE(S17:S23),MMULT(S8:Y14,S17:S23))</t>
        </r>
      </text>
    </comment>
  </commentList>
</comments>
</file>

<file path=xl/sharedStrings.xml><?xml version="1.0" encoding="utf-8"?>
<sst xmlns="http://schemas.openxmlformats.org/spreadsheetml/2006/main" count="151" uniqueCount="38">
  <si>
    <t>Date</t>
  </si>
  <si>
    <t>US</t>
  </si>
  <si>
    <t>UK</t>
  </si>
  <si>
    <t>Japan</t>
  </si>
  <si>
    <t>Germany</t>
  </si>
  <si>
    <t>France</t>
  </si>
  <si>
    <t>Canada</t>
  </si>
  <si>
    <t>Italy</t>
  </si>
  <si>
    <t>Adjusted close price</t>
  </si>
  <si>
    <t>^GSPC</t>
  </si>
  <si>
    <t>^FTSE</t>
  </si>
  <si>
    <t>^N225</t>
  </si>
  <si>
    <t>^GDAXI</t>
  </si>
  <si>
    <t>^FCHI</t>
  </si>
  <si>
    <t>^GSPTSE</t>
  </si>
  <si>
    <t>FTSEMIB.MI</t>
  </si>
  <si>
    <t>1. Enable Developer tab in menu (File/Options/Customize Ribbob/Check developer box)</t>
  </si>
  <si>
    <t>Instructions for implementing a VBA subroutine</t>
  </si>
  <si>
    <t>Simple return</t>
  </si>
  <si>
    <t>Mean return</t>
  </si>
  <si>
    <t>Expected return</t>
  </si>
  <si>
    <t>Covariance matrix</t>
  </si>
  <si>
    <t>P1</t>
  </si>
  <si>
    <t>P2</t>
  </si>
  <si>
    <t>Sum</t>
  </si>
  <si>
    <t>ER</t>
  </si>
  <si>
    <t>Variance</t>
  </si>
  <si>
    <t>Covariance</t>
  </si>
  <si>
    <t>Target ER</t>
  </si>
  <si>
    <t>Weight in P1</t>
  </si>
  <si>
    <t>Weight in P2</t>
  </si>
  <si>
    <t>St dev</t>
  </si>
  <si>
    <t>SD</t>
  </si>
  <si>
    <t>P</t>
  </si>
  <si>
    <t>Portfolio</t>
  </si>
  <si>
    <t>2. Name cell ranges in Excel to match VBA program</t>
  </si>
  <si>
    <t>3. Enable Solver in Visual Basic (Tools/References/Check Solver box)</t>
  </si>
  <si>
    <t>4. Choose 'Macros' on Developer tab and run VBA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</si>
</sst>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00"/>
    <numFmt numFmtId="166" formatCode="0.0%"/>
    <numFmt numFmtId="167" formatCode="0.000%"/>
    <numFmt numFmtId="168" formatCode="0.0000%"/>
    <numFmt numFmtId="169" formatCode="0.00000000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b/>
      <sz val="9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37" applyNumberFormat="1" applyFont="1"/>
    <xf numFmtId="9" fontId="0" fillId="0" borderId="0" xfId="0" applyNumberFormat="1"/>
    <xf numFmtId="168" fontId="0" fillId="0" borderId="0" xfId="0" applyNumberFormat="1"/>
    <xf numFmtId="169" fontId="0" fillId="0" borderId="0" xfId="0" applyNumberFormat="1"/>
    <xf numFmtId="168" fontId="0" fillId="0" borderId="0" xfId="37" applyNumberFormat="1" applyFont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168" fontId="0" fillId="4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0" fontId="0" fillId="2" borderId="0" xfId="0" applyNumberFormat="1" applyFill="1"/>
    <xf numFmtId="9" fontId="0" fillId="2" borderId="0" xfId="0" applyNumberFormat="1" applyFill="1"/>
    <xf numFmtId="14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0" fontId="0" fillId="0" borderId="0" xfId="37" applyNumberFormat="1" applyFont="1" applyFill="1"/>
    <xf numFmtId="0" fontId="2" fillId="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3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  <cellStyle name="Percent" xfId="37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</a:t>
            </a:r>
            <a:r>
              <a:rPr lang="en-US" baseline="0"/>
              <a:t> SET WITH SHORT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'Short sales'!$T$38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'Short sales'!$S$40:$S$55</c:f>
              <c:numCache>
                <c:formatCode>0.00%</c:formatCode>
                <c:ptCount val="16"/>
                <c:pt idx="0">
                  <c:v>4.2687319198382055E-2</c:v>
                </c:pt>
                <c:pt idx="1">
                  <c:v>4.0727100373955813E-2</c:v>
                </c:pt>
                <c:pt idx="2">
                  <c:v>3.8813177895330168E-2</c:v>
                </c:pt>
                <c:pt idx="3">
                  <c:v>3.695274605137458E-2</c:v>
                </c:pt>
                <c:pt idx="4">
                  <c:v>3.5154298344281777E-2</c:v>
                </c:pt>
                <c:pt idx="5">
                  <c:v>3.3427840677476076E-2</c:v>
                </c:pt>
                <c:pt idx="6">
                  <c:v>3.1785105970835385E-2</c:v>
                </c:pt>
                <c:pt idx="7">
                  <c:v>3.0239741727308221E-2</c:v>
                </c:pt>
                <c:pt idx="8">
                  <c:v>2.8807422425998746E-2</c:v>
                </c:pt>
                <c:pt idx="9">
                  <c:v>2.7505813619380988E-2</c:v>
                </c:pt>
                <c:pt idx="10">
                  <c:v>2.6354289363154398E-2</c:v>
                </c:pt>
                <c:pt idx="11">
                  <c:v>2.5373291898139288E-2</c:v>
                </c:pt>
                <c:pt idx="12">
                  <c:v>2.4583244387144015E-2</c:v>
                </c:pt>
                <c:pt idx="13">
                  <c:v>2.4003009319384812E-2</c:v>
                </c:pt>
                <c:pt idx="14">
                  <c:v>2.3648035798210804E-2</c:v>
                </c:pt>
                <c:pt idx="15">
                  <c:v>2.3528521559566903E-2</c:v>
                </c:pt>
              </c:numCache>
            </c:numRef>
          </c:xVal>
          <c:yVal>
            <c:numRef>
              <c:f>'Short sales'!$T$40:$T$55</c:f>
              <c:numCache>
                <c:formatCode>0.00%</c:formatCode>
                <c:ptCount val="16"/>
                <c:pt idx="0">
                  <c:v>6.1999836471167266E-3</c:v>
                </c:pt>
                <c:pt idx="1">
                  <c:v>6.0599869447813086E-3</c:v>
                </c:pt>
                <c:pt idx="2">
                  <c:v>5.9199902424458923E-3</c:v>
                </c:pt>
                <c:pt idx="3">
                  <c:v>5.7799935401104743E-3</c:v>
                </c:pt>
                <c:pt idx="4">
                  <c:v>5.6399968377750581E-3</c:v>
                </c:pt>
                <c:pt idx="5">
                  <c:v>5.5000001354396401E-3</c:v>
                </c:pt>
                <c:pt idx="6">
                  <c:v>5.360003433104223E-3</c:v>
                </c:pt>
                <c:pt idx="7">
                  <c:v>5.2200067307688058E-3</c:v>
                </c:pt>
                <c:pt idx="8">
                  <c:v>5.0800100284333878E-3</c:v>
                </c:pt>
                <c:pt idx="9">
                  <c:v>4.9400133260979707E-3</c:v>
                </c:pt>
                <c:pt idx="10">
                  <c:v>4.8000166237625536E-3</c:v>
                </c:pt>
                <c:pt idx="11">
                  <c:v>4.6600199214271365E-3</c:v>
                </c:pt>
                <c:pt idx="12">
                  <c:v>4.5200232190917193E-3</c:v>
                </c:pt>
                <c:pt idx="13">
                  <c:v>4.3800265167563013E-3</c:v>
                </c:pt>
                <c:pt idx="14">
                  <c:v>4.2400298144208842E-3</c:v>
                </c:pt>
                <c:pt idx="15">
                  <c:v>4.1000331120854671E-3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4D-4960-BBB0-40B96B610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479144"/>
        <c:axId val="703479536"/>
      </c:scatterChart>
      <c:valAx>
        <c:axId val="703479144"/>
        <c:scaling>
          <c:orientation val="minMax"/>
          <c:min val="2.2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479536"/>
        <c:crosses val="autoZero"/>
        <c:crossBetween val="midCat"/>
      </c:valAx>
      <c:valAx>
        <c:axId val="703479536"/>
        <c:scaling>
          <c:orientation val="minMax"/>
          <c:min val="3.000000000000000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47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</a:t>
            </a:r>
            <a:r>
              <a:rPr lang="en-US" baseline="0"/>
              <a:t> SET WITH SHORT SALES </a:t>
            </a:r>
          </a:p>
          <a:p>
            <a:pPr>
              <a:defRPr/>
            </a:pPr>
            <a:r>
              <a:rPr lang="en-US" baseline="0"/>
              <a:t>VS. WITHOUT SHORT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 short sales'!$S$32:$S$71</c:f>
              <c:numCache>
                <c:formatCode>0.000%</c:formatCode>
                <c:ptCount val="40"/>
                <c:pt idx="0">
                  <c:v>2.4631705404090772E-2</c:v>
                </c:pt>
                <c:pt idx="1">
                  <c:v>2.4660722515712278E-2</c:v>
                </c:pt>
                <c:pt idx="2">
                  <c:v>2.4748420678559837E-2</c:v>
                </c:pt>
                <c:pt idx="3">
                  <c:v>2.489029850329557E-2</c:v>
                </c:pt>
                <c:pt idx="4">
                  <c:v>2.5055022980843302E-2</c:v>
                </c:pt>
                <c:pt idx="5">
                  <c:v>2.5235715395029723E-2</c:v>
                </c:pt>
                <c:pt idx="6">
                  <c:v>2.5433492408056799E-2</c:v>
                </c:pt>
                <c:pt idx="7">
                  <c:v>2.5651005765452858E-2</c:v>
                </c:pt>
                <c:pt idx="8">
                  <c:v>2.5887963606583787E-2</c:v>
                </c:pt>
                <c:pt idx="9">
                  <c:v>2.6153085848108812E-2</c:v>
                </c:pt>
                <c:pt idx="10">
                  <c:v>2.6459820304153565E-2</c:v>
                </c:pt>
                <c:pt idx="11">
                  <c:v>2.6806903221621093E-2</c:v>
                </c:pt>
                <c:pt idx="12">
                  <c:v>2.7192792925333147E-2</c:v>
                </c:pt>
                <c:pt idx="13">
                  <c:v>2.7615865792311133E-2</c:v>
                </c:pt>
                <c:pt idx="14">
                  <c:v>2.8074415324966823E-2</c:v>
                </c:pt>
                <c:pt idx="15">
                  <c:v>2.856684198736471E-2</c:v>
                </c:pt>
                <c:pt idx="16">
                  <c:v>2.9091204963769313E-2</c:v>
                </c:pt>
                <c:pt idx="17">
                  <c:v>2.9646065782473044E-2</c:v>
                </c:pt>
                <c:pt idx="18">
                  <c:v>3.0229558354216667E-2</c:v>
                </c:pt>
                <c:pt idx="19">
                  <c:v>3.0840016023317006E-2</c:v>
                </c:pt>
                <c:pt idx="20">
                  <c:v>3.1476072159181606E-2</c:v>
                </c:pt>
                <c:pt idx="21">
                  <c:v>3.2136096186381545E-2</c:v>
                </c:pt>
                <c:pt idx="22">
                  <c:v>3.2818688712909973E-2</c:v>
                </c:pt>
                <c:pt idx="23">
                  <c:v>3.3522501306797285E-2</c:v>
                </c:pt>
                <c:pt idx="24">
                  <c:v>3.4246078121403539E-2</c:v>
                </c:pt>
                <c:pt idx="25">
                  <c:v>3.4988275754142407E-2</c:v>
                </c:pt>
                <c:pt idx="26">
                  <c:v>3.5747934506592513E-2</c:v>
                </c:pt>
                <c:pt idx="27">
                  <c:v>3.6523964730272446E-2</c:v>
                </c:pt>
                <c:pt idx="28">
                  <c:v>3.7315205369550561E-2</c:v>
                </c:pt>
                <c:pt idx="29">
                  <c:v>3.8121119993999475E-2</c:v>
                </c:pt>
                <c:pt idx="30">
                  <c:v>3.894037973190595E-2</c:v>
                </c:pt>
                <c:pt idx="31">
                  <c:v>3.9772187066252344E-2</c:v>
                </c:pt>
                <c:pt idx="32">
                  <c:v>4.0616165966610655E-2</c:v>
                </c:pt>
                <c:pt idx="33">
                  <c:v>4.1471157740118711E-2</c:v>
                </c:pt>
                <c:pt idx="34">
                  <c:v>4.2336635615316677E-2</c:v>
                </c:pt>
                <c:pt idx="35">
                  <c:v>4.3211936137391598E-2</c:v>
                </c:pt>
                <c:pt idx="36">
                  <c:v>4.4096402172502693E-2</c:v>
                </c:pt>
                <c:pt idx="37">
                  <c:v>4.4989876046511057E-2</c:v>
                </c:pt>
                <c:pt idx="38">
                  <c:v>4.5891392858989778E-2</c:v>
                </c:pt>
                <c:pt idx="39">
                  <c:v>4.6800541840559512E-2</c:v>
                </c:pt>
              </c:numCache>
            </c:numRef>
          </c:xVal>
          <c:yVal>
            <c:numRef>
              <c:f>'No short sales'!$T$32:$T$71</c:f>
              <c:numCache>
                <c:formatCode>0.0000%</c:formatCode>
                <c:ptCount val="40"/>
                <c:pt idx="0">
                  <c:v>4.3549999999928299E-3</c:v>
                </c:pt>
                <c:pt idx="1">
                  <c:v>4.3843633130170494E-3</c:v>
                </c:pt>
                <c:pt idx="2">
                  <c:v>4.4137179474159427E-3</c:v>
                </c:pt>
                <c:pt idx="3">
                  <c:v>4.4430769277007233E-3</c:v>
                </c:pt>
                <c:pt idx="4">
                  <c:v>4.4724358913788712E-3</c:v>
                </c:pt>
                <c:pt idx="5">
                  <c:v>4.5017950753633669E-3</c:v>
                </c:pt>
                <c:pt idx="6">
                  <c:v>4.5311583419995263E-3</c:v>
                </c:pt>
                <c:pt idx="7">
                  <c:v>4.5605128107676328E-3</c:v>
                </c:pt>
                <c:pt idx="8">
                  <c:v>4.5898718013327646E-3</c:v>
                </c:pt>
                <c:pt idx="9">
                  <c:v>4.6192307757243565E-3</c:v>
                </c:pt>
                <c:pt idx="10">
                  <c:v>4.648589752348717E-3</c:v>
                </c:pt>
                <c:pt idx="11">
                  <c:v>4.6779487013970389E-3</c:v>
                </c:pt>
                <c:pt idx="12">
                  <c:v>4.7073078773351889E-3</c:v>
                </c:pt>
                <c:pt idx="13">
                  <c:v>4.7366674144875606E-3</c:v>
                </c:pt>
                <c:pt idx="14">
                  <c:v>4.7660256420593572E-3</c:v>
                </c:pt>
                <c:pt idx="15">
                  <c:v>4.7953891612137235E-3</c:v>
                </c:pt>
                <c:pt idx="16">
                  <c:v>4.8247447866587492E-3</c:v>
                </c:pt>
                <c:pt idx="17">
                  <c:v>4.8541073777582447E-3</c:v>
                </c:pt>
                <c:pt idx="18">
                  <c:v>4.8834663842779614E-3</c:v>
                </c:pt>
                <c:pt idx="19">
                  <c:v>4.9128205128195828E-3</c:v>
                </c:pt>
                <c:pt idx="20">
                  <c:v>4.9421797636049506E-3</c:v>
                </c:pt>
                <c:pt idx="21">
                  <c:v>4.9715384600898683E-3</c:v>
                </c:pt>
                <c:pt idx="22">
                  <c:v>5.0008986694051755E-3</c:v>
                </c:pt>
                <c:pt idx="23">
                  <c:v>5.0302614111550894E-3</c:v>
                </c:pt>
                <c:pt idx="24">
                  <c:v>5.0596204148768004E-3</c:v>
                </c:pt>
                <c:pt idx="25">
                  <c:v>5.0889794185947851E-3</c:v>
                </c:pt>
                <c:pt idx="26">
                  <c:v>5.1183384223127577E-3</c:v>
                </c:pt>
                <c:pt idx="27">
                  <c:v>5.1476974260307408E-3</c:v>
                </c:pt>
                <c:pt idx="28">
                  <c:v>5.1770512820508065E-3</c:v>
                </c:pt>
                <c:pt idx="29">
                  <c:v>5.2064154334615521E-3</c:v>
                </c:pt>
                <c:pt idx="30">
                  <c:v>5.2357738899124831E-3</c:v>
                </c:pt>
                <c:pt idx="31">
                  <c:v>5.2651282051280873E-3</c:v>
                </c:pt>
                <c:pt idx="32">
                  <c:v>5.2944924446153953E-3</c:v>
                </c:pt>
                <c:pt idx="33">
                  <c:v>5.3238514483386155E-3</c:v>
                </c:pt>
                <c:pt idx="34">
                  <c:v>5.3532104520565881E-3</c:v>
                </c:pt>
                <c:pt idx="35">
                  <c:v>5.3825683552274819E-3</c:v>
                </c:pt>
                <c:pt idx="36">
                  <c:v>5.4119230756839243E-3</c:v>
                </c:pt>
                <c:pt idx="37">
                  <c:v>5.4412874628961602E-3</c:v>
                </c:pt>
                <c:pt idx="38">
                  <c:v>5.4706464668405853E-3</c:v>
                </c:pt>
                <c:pt idx="39">
                  <c:v>5.5000000059415586E-3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78-4C75-8323-FA8778F6325B}"/>
            </c:ext>
          </c:extLst>
        </c:ser>
        <c:ser>
          <c:idx val="0"/>
          <c:order val="1"/>
          <c:tx>
            <c:strRef>
              <c:f>'Short sales'!$T$38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'Short sales'!$S$40:$S$55</c:f>
              <c:numCache>
                <c:formatCode>0.00%</c:formatCode>
                <c:ptCount val="16"/>
                <c:pt idx="0">
                  <c:v>4.2687319198382055E-2</c:v>
                </c:pt>
                <c:pt idx="1">
                  <c:v>4.0727100373955813E-2</c:v>
                </c:pt>
                <c:pt idx="2">
                  <c:v>3.8813177895330168E-2</c:v>
                </c:pt>
                <c:pt idx="3">
                  <c:v>3.695274605137458E-2</c:v>
                </c:pt>
                <c:pt idx="4">
                  <c:v>3.5154298344281777E-2</c:v>
                </c:pt>
                <c:pt idx="5">
                  <c:v>3.3427840677476076E-2</c:v>
                </c:pt>
                <c:pt idx="6">
                  <c:v>3.1785105970835385E-2</c:v>
                </c:pt>
                <c:pt idx="7">
                  <c:v>3.0239741727308221E-2</c:v>
                </c:pt>
                <c:pt idx="8">
                  <c:v>2.8807422425998746E-2</c:v>
                </c:pt>
                <c:pt idx="9">
                  <c:v>2.7505813619380988E-2</c:v>
                </c:pt>
                <c:pt idx="10">
                  <c:v>2.6354289363154398E-2</c:v>
                </c:pt>
                <c:pt idx="11">
                  <c:v>2.5373291898139288E-2</c:v>
                </c:pt>
                <c:pt idx="12">
                  <c:v>2.4583244387144015E-2</c:v>
                </c:pt>
                <c:pt idx="13">
                  <c:v>2.4003009319384812E-2</c:v>
                </c:pt>
                <c:pt idx="14">
                  <c:v>2.3648035798210804E-2</c:v>
                </c:pt>
                <c:pt idx="15">
                  <c:v>2.3528521559566903E-2</c:v>
                </c:pt>
              </c:numCache>
            </c:numRef>
          </c:xVal>
          <c:yVal>
            <c:numRef>
              <c:f>'Short sales'!$T$40:$T$55</c:f>
              <c:numCache>
                <c:formatCode>0.00%</c:formatCode>
                <c:ptCount val="16"/>
                <c:pt idx="0">
                  <c:v>6.1999836471167266E-3</c:v>
                </c:pt>
                <c:pt idx="1">
                  <c:v>6.0599869447813086E-3</c:v>
                </c:pt>
                <c:pt idx="2">
                  <c:v>5.9199902424458923E-3</c:v>
                </c:pt>
                <c:pt idx="3">
                  <c:v>5.7799935401104743E-3</c:v>
                </c:pt>
                <c:pt idx="4">
                  <c:v>5.6399968377750581E-3</c:v>
                </c:pt>
                <c:pt idx="5">
                  <c:v>5.5000001354396401E-3</c:v>
                </c:pt>
                <c:pt idx="6">
                  <c:v>5.360003433104223E-3</c:v>
                </c:pt>
                <c:pt idx="7">
                  <c:v>5.2200067307688058E-3</c:v>
                </c:pt>
                <c:pt idx="8">
                  <c:v>5.0800100284333878E-3</c:v>
                </c:pt>
                <c:pt idx="9">
                  <c:v>4.9400133260979707E-3</c:v>
                </c:pt>
                <c:pt idx="10">
                  <c:v>4.8000166237625536E-3</c:v>
                </c:pt>
                <c:pt idx="11">
                  <c:v>4.6600199214271365E-3</c:v>
                </c:pt>
                <c:pt idx="12">
                  <c:v>4.5200232190917193E-3</c:v>
                </c:pt>
                <c:pt idx="13">
                  <c:v>4.3800265167563013E-3</c:v>
                </c:pt>
                <c:pt idx="14">
                  <c:v>4.2400298144208842E-3</c:v>
                </c:pt>
                <c:pt idx="15">
                  <c:v>4.1000331120854671E-3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78-4C75-8323-FA8778F63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480712"/>
        <c:axId val="570930600"/>
      </c:scatterChart>
      <c:valAx>
        <c:axId val="703480712"/>
        <c:scaling>
          <c:orientation val="minMax"/>
          <c:min val="2.2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30600"/>
        <c:crosses val="autoZero"/>
        <c:crossBetween val="midCat"/>
      </c:valAx>
      <c:valAx>
        <c:axId val="570930600"/>
        <c:scaling>
          <c:orientation val="minMax"/>
          <c:min val="3.000000000000000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48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647700</xdr:colOff>
      <xdr:row>39</xdr:row>
      <xdr:rowOff>19050</xdr:rowOff>
    </xdr:from>
    <xdr:to>
      <xdr:col>26</xdr:col>
      <xdr:colOff>247650</xdr:colOff>
      <xdr:row>52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143595</xdr:colOff>
      <xdr:row>30</xdr:row>
      <xdr:rowOff>115455</xdr:rowOff>
    </xdr:from>
    <xdr:to>
      <xdr:col>25</xdr:col>
      <xdr:colOff>580880</xdr:colOff>
      <xdr:row>44</xdr:row>
      <xdr:rowOff>100157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FDD4A9-7FD0-40C5-880B-C22A70067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4"/>
  <sheetViews>
    <sheetView tabSelected="1" topLeftCell="K1" workbookViewId="0">
      <selection activeCell="P1" sqref="P1"/>
    </sheetView>
  </sheetViews>
  <sheetFormatPr defaultColWidth="10.83203125" defaultRowHeight="15.5"/>
  <cols>
    <col min="1" max="8" width="10.83203125" style="6"/>
    <col min="9" max="17" width="10.83203125" style="1"/>
    <col min="18" max="18" width="14.5" style="1" bestFit="1" customWidth="1"/>
    <col min="19" max="19" width="11.5" style="1" bestFit="1" customWidth="1"/>
    <col min="20" max="16384" width="10.83203125" style="1"/>
  </cols>
  <sheetData>
    <row r="1" spans="1:26" customFormat="1">
      <c r="A1" s="19"/>
      <c r="B1" s="25" t="s">
        <v>8</v>
      </c>
      <c r="C1" s="25"/>
      <c r="D1" s="25"/>
      <c r="E1" s="25"/>
      <c r="F1" s="25"/>
      <c r="G1" s="25"/>
      <c r="H1" s="25"/>
      <c r="I1" s="25" t="s">
        <v>18</v>
      </c>
      <c r="J1" s="25"/>
      <c r="K1" s="25"/>
      <c r="L1" s="25"/>
      <c r="M1" s="25"/>
      <c r="N1" s="25"/>
      <c r="O1" s="25"/>
    </row>
    <row r="2" spans="1:26" customFormat="1">
      <c r="A2" s="19" t="s">
        <v>0</v>
      </c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  <c r="I2" s="19" t="s">
        <v>1</v>
      </c>
      <c r="J2" s="19" t="s">
        <v>2</v>
      </c>
      <c r="K2" s="19" t="s">
        <v>3</v>
      </c>
      <c r="L2" s="19" t="s">
        <v>4</v>
      </c>
      <c r="M2" s="19" t="s">
        <v>5</v>
      </c>
      <c r="N2" s="19" t="s">
        <v>6</v>
      </c>
      <c r="O2" s="19" t="s">
        <v>7</v>
      </c>
      <c r="S2" s="2" t="s">
        <v>1</v>
      </c>
      <c r="T2" s="2" t="s">
        <v>2</v>
      </c>
      <c r="U2" s="2" t="s">
        <v>3</v>
      </c>
      <c r="V2" s="2" t="s">
        <v>4</v>
      </c>
      <c r="W2" s="2" t="s">
        <v>5</v>
      </c>
      <c r="X2" s="2" t="s">
        <v>6</v>
      </c>
      <c r="Y2" s="2" t="s">
        <v>7</v>
      </c>
    </row>
    <row r="3" spans="1:26" customFormat="1">
      <c r="A3" s="6"/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9</v>
      </c>
      <c r="J3" s="6" t="s">
        <v>10</v>
      </c>
      <c r="K3" s="6" t="s">
        <v>11</v>
      </c>
      <c r="L3" s="6" t="s">
        <v>12</v>
      </c>
      <c r="M3" s="6" t="s">
        <v>13</v>
      </c>
      <c r="N3" s="6" t="s">
        <v>14</v>
      </c>
      <c r="O3" s="6" t="s">
        <v>15</v>
      </c>
      <c r="R3" s="2" t="s">
        <v>19</v>
      </c>
      <c r="S3" s="8">
        <f>AVERAGE(I5:I64)</f>
        <v>6.58537538378225E-3</v>
      </c>
      <c r="T3" s="8">
        <f t="shared" ref="T3:X3" si="0">AVERAGE(J5:J64)</f>
        <v>1.7760598722039939E-3</v>
      </c>
      <c r="U3" s="8">
        <f t="shared" si="0"/>
        <v>5.8207798388026288E-3</v>
      </c>
      <c r="V3" s="8">
        <f t="shared" si="0"/>
        <v>5.1689899335619315E-3</v>
      </c>
      <c r="W3" s="8">
        <f t="shared" si="0"/>
        <v>4.9899992779588332E-3</v>
      </c>
      <c r="X3" s="8">
        <f t="shared" si="0"/>
        <v>2.14901129293217E-3</v>
      </c>
      <c r="Y3" s="8">
        <f>AVERAGE(O5:O64)</f>
        <v>4.5094940387581722E-3</v>
      </c>
    </row>
    <row r="4" spans="1:26" customFormat="1">
      <c r="A4" s="22">
        <v>41913</v>
      </c>
      <c r="B4" s="23">
        <v>2018.0500489999999</v>
      </c>
      <c r="C4" s="23">
        <v>6546.47</v>
      </c>
      <c r="D4" s="23">
        <v>16413.759765999999</v>
      </c>
      <c r="E4" s="23">
        <v>9326.8701170000004</v>
      </c>
      <c r="F4" s="23">
        <v>4233.0898440000001</v>
      </c>
      <c r="G4" s="23">
        <v>14613.299805000001</v>
      </c>
      <c r="H4" s="23">
        <v>17555.77</v>
      </c>
      <c r="I4" s="24"/>
      <c r="J4" s="24"/>
      <c r="K4" s="24"/>
      <c r="L4" s="24"/>
      <c r="M4" s="24"/>
      <c r="N4" s="24"/>
      <c r="O4" s="24"/>
      <c r="R4" s="2" t="s">
        <v>20</v>
      </c>
      <c r="S4" s="8">
        <v>4.7999999999999996E-3</v>
      </c>
      <c r="T4" s="8">
        <v>3.8999999999999998E-3</v>
      </c>
      <c r="U4" s="8">
        <v>5.4999999999999997E-3</v>
      </c>
      <c r="V4" s="8">
        <v>5.1000000000000004E-3</v>
      </c>
      <c r="W4" s="8">
        <v>4.3E-3</v>
      </c>
      <c r="X4" s="8">
        <v>4.4999999999999997E-3</v>
      </c>
      <c r="Y4" s="8">
        <v>4.1999999999999997E-3</v>
      </c>
      <c r="Z4" s="8"/>
    </row>
    <row r="5" spans="1:26" customFormat="1">
      <c r="A5" s="22">
        <v>41944</v>
      </c>
      <c r="B5" s="23">
        <v>2067.5600589999999</v>
      </c>
      <c r="C5" s="23">
        <v>6722.62</v>
      </c>
      <c r="D5" s="23">
        <v>17459.849609000001</v>
      </c>
      <c r="E5" s="23">
        <v>9980.8496090000008</v>
      </c>
      <c r="F5" s="23">
        <v>4390.1801759999998</v>
      </c>
      <c r="G5" s="23">
        <v>14744.700194999999</v>
      </c>
      <c r="H5" s="23">
        <v>18444.580000000002</v>
      </c>
      <c r="I5" s="24">
        <f>(B5-B4)/B4</f>
        <v>2.4533588760364766E-2</v>
      </c>
      <c r="J5" s="24">
        <f t="shared" ref="J5:O20" si="1">(C5-C4)/C4</f>
        <v>2.6907631135558496E-2</v>
      </c>
      <c r="K5" s="24">
        <f t="shared" si="1"/>
        <v>6.3732493829165598E-2</v>
      </c>
      <c r="L5" s="24">
        <f t="shared" si="1"/>
        <v>7.011778697421743E-2</v>
      </c>
      <c r="M5" s="24">
        <f t="shared" si="1"/>
        <v>3.711008690794982E-2</v>
      </c>
      <c r="N5" s="24">
        <f t="shared" si="1"/>
        <v>8.9918356396848642E-3</v>
      </c>
      <c r="O5" s="24">
        <f t="shared" si="1"/>
        <v>5.062779929333782E-2</v>
      </c>
    </row>
    <row r="6" spans="1:26" customFormat="1">
      <c r="A6" s="22">
        <v>41974</v>
      </c>
      <c r="B6" s="23">
        <v>2058.8999020000001</v>
      </c>
      <c r="C6" s="23">
        <v>6566.09</v>
      </c>
      <c r="D6" s="23">
        <v>17450.769531000002</v>
      </c>
      <c r="E6" s="23">
        <v>9805.5498050000006</v>
      </c>
      <c r="F6" s="23">
        <v>4272.75</v>
      </c>
      <c r="G6" s="23">
        <v>14632.400390999999</v>
      </c>
      <c r="H6" s="23">
        <v>17729.07</v>
      </c>
      <c r="I6" s="24">
        <f t="shared" ref="I6:O55" si="2">(B6-B5)/B5</f>
        <v>-4.1885878779204062E-3</v>
      </c>
      <c r="J6" s="24">
        <f t="shared" si="1"/>
        <v>-2.3284076743888507E-2</v>
      </c>
      <c r="K6" s="24">
        <f t="shared" si="1"/>
        <v>-5.2005476583936636E-4</v>
      </c>
      <c r="L6" s="24">
        <f t="shared" si="1"/>
        <v>-1.7563615410248007E-2</v>
      </c>
      <c r="M6" s="24">
        <f t="shared" si="1"/>
        <v>-2.6748372798447044E-2</v>
      </c>
      <c r="N6" s="24">
        <f t="shared" si="1"/>
        <v>-7.6162826313743324E-3</v>
      </c>
      <c r="O6" s="24">
        <f t="shared" si="1"/>
        <v>-3.8792425742413324E-2</v>
      </c>
      <c r="R6" s="7" t="s">
        <v>21</v>
      </c>
    </row>
    <row r="7" spans="1:26" customFormat="1">
      <c r="A7" s="22">
        <v>42005</v>
      </c>
      <c r="B7" s="23">
        <v>1994.98999</v>
      </c>
      <c r="C7" s="23">
        <v>6749.4</v>
      </c>
      <c r="D7" s="23">
        <v>17674.390625</v>
      </c>
      <c r="E7" s="23">
        <v>10694.320313</v>
      </c>
      <c r="F7" s="23">
        <v>4604.25</v>
      </c>
      <c r="G7" s="23">
        <v>14673.5</v>
      </c>
      <c r="H7" s="23">
        <v>17991.759999999998</v>
      </c>
      <c r="I7" s="24">
        <f t="shared" si="2"/>
        <v>-3.1040805790470173E-2</v>
      </c>
      <c r="J7" s="24">
        <f t="shared" si="1"/>
        <v>2.7917680080534912E-2</v>
      </c>
      <c r="K7" s="24">
        <f t="shared" si="1"/>
        <v>1.2814397302236553E-2</v>
      </c>
      <c r="L7" s="24">
        <f t="shared" si="1"/>
        <v>9.0639538391493552E-2</v>
      </c>
      <c r="M7" s="24">
        <f t="shared" si="1"/>
        <v>7.7584693698437776E-2</v>
      </c>
      <c r="N7" s="24">
        <f t="shared" si="1"/>
        <v>2.8088083910880446E-3</v>
      </c>
      <c r="O7" s="24">
        <f t="shared" si="1"/>
        <v>1.4816908049886356E-2</v>
      </c>
      <c r="S7" s="7" t="s">
        <v>1</v>
      </c>
      <c r="T7" s="7" t="s">
        <v>2</v>
      </c>
      <c r="U7" s="7" t="s">
        <v>3</v>
      </c>
      <c r="V7" s="7" t="s">
        <v>4</v>
      </c>
      <c r="W7" s="7" t="s">
        <v>5</v>
      </c>
      <c r="X7" s="7" t="s">
        <v>6</v>
      </c>
      <c r="Y7" s="7" t="s">
        <v>7</v>
      </c>
    </row>
    <row r="8" spans="1:26" customFormat="1">
      <c r="A8" s="22">
        <v>42036</v>
      </c>
      <c r="B8" s="23">
        <v>2104.5</v>
      </c>
      <c r="C8" s="23">
        <v>6946.66</v>
      </c>
      <c r="D8" s="23">
        <v>18797.939452999999</v>
      </c>
      <c r="E8" s="23">
        <v>11401.660156</v>
      </c>
      <c r="F8" s="23">
        <v>4951.4799800000001</v>
      </c>
      <c r="G8" s="23">
        <v>15234.299805000001</v>
      </c>
      <c r="H8" s="23">
        <v>20246.54</v>
      </c>
      <c r="I8" s="24">
        <f t="shared" si="2"/>
        <v>5.4892511014553995E-2</v>
      </c>
      <c r="J8" s="24">
        <f t="shared" si="1"/>
        <v>2.9226301597179042E-2</v>
      </c>
      <c r="K8" s="24">
        <f t="shared" si="1"/>
        <v>6.3569310639245813E-2</v>
      </c>
      <c r="L8" s="24">
        <f t="shared" si="1"/>
        <v>6.6141636148690855E-2</v>
      </c>
      <c r="M8" s="24">
        <f t="shared" si="1"/>
        <v>7.5415101265135481E-2</v>
      </c>
      <c r="N8" s="24">
        <f t="shared" si="1"/>
        <v>3.8218543973830413E-2</v>
      </c>
      <c r="O8" s="24">
        <f t="shared" si="1"/>
        <v>0.12532292560594421</v>
      </c>
      <c r="R8" s="7" t="s">
        <v>1</v>
      </c>
      <c r="S8" s="9">
        <f t="array" ref="S8:Y14">MMULT(TRANSPOSE(I5:O64-S3:Y3),I5:O64-S3:Y3)/(COUNT(O5:O64)-1)</f>
        <v>1.2072598400594181E-3</v>
      </c>
      <c r="T8" s="9">
        <v>6.6051744783751252E-4</v>
      </c>
      <c r="U8" s="9">
        <v>1.1699524365836966E-3</v>
      </c>
      <c r="V8" s="9">
        <v>1.1075248777080251E-3</v>
      </c>
      <c r="W8" s="9">
        <v>9.991932577757311E-4</v>
      </c>
      <c r="X8" s="9">
        <v>6.8111368335587873E-4</v>
      </c>
      <c r="Y8" s="9">
        <v>8.3507068612120774E-4</v>
      </c>
    </row>
    <row r="9" spans="1:26" customFormat="1">
      <c r="A9" s="22">
        <v>42064</v>
      </c>
      <c r="B9" s="23">
        <v>2067.889893</v>
      </c>
      <c r="C9" s="23">
        <v>6773.04</v>
      </c>
      <c r="D9" s="23">
        <v>19206.990234000001</v>
      </c>
      <c r="E9" s="23">
        <v>11966.169921999999</v>
      </c>
      <c r="F9" s="23">
        <v>5033.6401370000003</v>
      </c>
      <c r="G9" s="23">
        <v>14902.400390999999</v>
      </c>
      <c r="H9" s="23">
        <v>21860.52</v>
      </c>
      <c r="I9" s="24">
        <f t="shared" si="2"/>
        <v>-1.7396106913756221E-2</v>
      </c>
      <c r="J9" s="24">
        <f t="shared" si="1"/>
        <v>-2.4993306135610481E-2</v>
      </c>
      <c r="K9" s="24">
        <f t="shared" si="1"/>
        <v>2.1760405283927038E-2</v>
      </c>
      <c r="L9" s="24">
        <f t="shared" si="1"/>
        <v>4.9511190324589012E-2</v>
      </c>
      <c r="M9" s="24">
        <f t="shared" si="1"/>
        <v>1.6593050427722876E-2</v>
      </c>
      <c r="N9" s="24">
        <f t="shared" si="1"/>
        <v>-2.1786325479236642E-2</v>
      </c>
      <c r="O9" s="24">
        <f t="shared" si="1"/>
        <v>7.9716336717285993E-2</v>
      </c>
      <c r="R9" s="7" t="s">
        <v>2</v>
      </c>
      <c r="S9" s="9">
        <v>6.6051744783751252E-4</v>
      </c>
      <c r="T9" s="9">
        <v>9.6186062251918034E-4</v>
      </c>
      <c r="U9" s="9">
        <v>7.3206994725585602E-4</v>
      </c>
      <c r="V9" s="9">
        <v>9.4276390047488422E-4</v>
      </c>
      <c r="W9" s="9">
        <v>8.9101470401623591E-4</v>
      </c>
      <c r="X9" s="9">
        <v>4.9757323740314062E-4</v>
      </c>
      <c r="Y9" s="9">
        <v>6.0968770941651927E-4</v>
      </c>
    </row>
    <row r="10" spans="1:26" customFormat="1">
      <c r="A10" s="22">
        <v>42095</v>
      </c>
      <c r="B10" s="23">
        <v>2085.51001</v>
      </c>
      <c r="C10" s="23">
        <v>6960.63</v>
      </c>
      <c r="D10" s="23">
        <v>19520.009765999999</v>
      </c>
      <c r="E10" s="23">
        <v>11454.379883</v>
      </c>
      <c r="F10" s="23">
        <v>5046.4902339999999</v>
      </c>
      <c r="G10" s="23">
        <v>15224.5</v>
      </c>
      <c r="H10" s="23">
        <v>22725.83</v>
      </c>
      <c r="I10" s="24">
        <f t="shared" si="2"/>
        <v>8.5208197301247391E-3</v>
      </c>
      <c r="J10" s="24">
        <f t="shared" si="1"/>
        <v>2.7696573473654392E-2</v>
      </c>
      <c r="K10" s="24">
        <f t="shared" si="1"/>
        <v>1.6297167238930269E-2</v>
      </c>
      <c r="L10" s="24">
        <f t="shared" si="1"/>
        <v>-4.2769745234777688E-2</v>
      </c>
      <c r="M10" s="24">
        <f t="shared" si="1"/>
        <v>2.5528437969858692E-3</v>
      </c>
      <c r="N10" s="24">
        <f t="shared" si="1"/>
        <v>2.1613941415406224E-2</v>
      </c>
      <c r="O10" s="24">
        <f t="shared" si="1"/>
        <v>3.9583230408059888E-2</v>
      </c>
      <c r="R10" s="7" t="s">
        <v>3</v>
      </c>
      <c r="S10" s="9">
        <v>1.1699524365836966E-3</v>
      </c>
      <c r="T10" s="9">
        <v>7.3206994725585602E-4</v>
      </c>
      <c r="U10" s="9">
        <v>2.1902907118376922E-3</v>
      </c>
      <c r="V10" s="9">
        <v>1.7105007201555671E-3</v>
      </c>
      <c r="W10" s="9">
        <v>1.4696453529161777E-3</v>
      </c>
      <c r="X10" s="9">
        <v>7.3490669328114312E-4</v>
      </c>
      <c r="Y10" s="9">
        <v>1.5927450747812177E-3</v>
      </c>
    </row>
    <row r="11" spans="1:26" customFormat="1">
      <c r="A11" s="22">
        <v>42125</v>
      </c>
      <c r="B11" s="23">
        <v>2107.389893</v>
      </c>
      <c r="C11" s="23">
        <v>6984.43</v>
      </c>
      <c r="D11" s="23">
        <v>20563.150390999999</v>
      </c>
      <c r="E11" s="23">
        <v>11413.820313</v>
      </c>
      <c r="F11" s="23">
        <v>5007.8901370000003</v>
      </c>
      <c r="G11" s="23">
        <v>15014.099609000001</v>
      </c>
      <c r="H11" s="23">
        <v>22296.58</v>
      </c>
      <c r="I11" s="24">
        <f t="shared" si="2"/>
        <v>1.0491382393316857E-2</v>
      </c>
      <c r="J11" s="24">
        <f t="shared" si="1"/>
        <v>3.4192307305517147E-3</v>
      </c>
      <c r="K11" s="24">
        <f t="shared" si="1"/>
        <v>5.3439554462567172E-2</v>
      </c>
      <c r="L11" s="24">
        <f t="shared" si="1"/>
        <v>-3.5409660247252548E-3</v>
      </c>
      <c r="M11" s="24">
        <f t="shared" si="1"/>
        <v>-7.6488995737942714E-3</v>
      </c>
      <c r="N11" s="24">
        <f t="shared" si="1"/>
        <v>-1.3819855561758956E-2</v>
      </c>
      <c r="O11" s="24">
        <f t="shared" si="1"/>
        <v>-1.8888199022873971E-2</v>
      </c>
      <c r="R11" s="7" t="s">
        <v>4</v>
      </c>
      <c r="S11" s="9">
        <v>1.1075248777080251E-3</v>
      </c>
      <c r="T11" s="9">
        <v>9.4276390047488422E-4</v>
      </c>
      <c r="U11" s="9">
        <v>1.7105007201555671E-3</v>
      </c>
      <c r="V11" s="9">
        <v>2.1797057801330229E-3</v>
      </c>
      <c r="W11" s="9">
        <v>1.7853649792857623E-3</v>
      </c>
      <c r="X11" s="9">
        <v>7.6520092022405208E-4</v>
      </c>
      <c r="Y11" s="9">
        <v>1.4501237720867743E-3</v>
      </c>
    </row>
    <row r="12" spans="1:26" customFormat="1">
      <c r="A12" s="22">
        <v>42156</v>
      </c>
      <c r="B12" s="23">
        <v>2063.110107</v>
      </c>
      <c r="C12" s="23">
        <v>6520.98</v>
      </c>
      <c r="D12" s="23">
        <v>20235.730468999998</v>
      </c>
      <c r="E12" s="23">
        <v>10944.969727</v>
      </c>
      <c r="F12" s="23">
        <v>4790.2001950000003</v>
      </c>
      <c r="G12" s="23">
        <v>14553.299805000001</v>
      </c>
      <c r="H12" s="23">
        <v>21855.05</v>
      </c>
      <c r="I12" s="24">
        <f t="shared" si="2"/>
        <v>-2.1011672375900521E-2</v>
      </c>
      <c r="J12" s="24">
        <f t="shared" si="1"/>
        <v>-6.6354734745713059E-2</v>
      </c>
      <c r="K12" s="24">
        <f t="shared" si="1"/>
        <v>-1.592265366805394E-2</v>
      </c>
      <c r="L12" s="24">
        <f t="shared" si="1"/>
        <v>-4.107744586323947E-2</v>
      </c>
      <c r="M12" s="24">
        <f t="shared" si="1"/>
        <v>-4.3469392507561704E-2</v>
      </c>
      <c r="N12" s="24">
        <f t="shared" si="1"/>
        <v>-3.0691138063569257E-2</v>
      </c>
      <c r="O12" s="24">
        <f t="shared" si="1"/>
        <v>-1.9802588558424764E-2</v>
      </c>
      <c r="R12" s="7" t="s">
        <v>5</v>
      </c>
      <c r="S12" s="9">
        <v>9.991932577757311E-4</v>
      </c>
      <c r="T12" s="9">
        <v>8.9101470401623591E-4</v>
      </c>
      <c r="U12" s="9">
        <v>1.4696453529161777E-3</v>
      </c>
      <c r="V12" s="9">
        <v>1.7853649792857623E-3</v>
      </c>
      <c r="W12" s="9">
        <v>1.7413031530581235E-3</v>
      </c>
      <c r="X12" s="9">
        <v>7.0333081758622372E-4</v>
      </c>
      <c r="Y12" s="9">
        <v>1.1933815651238076E-3</v>
      </c>
    </row>
    <row r="13" spans="1:26" customFormat="1">
      <c r="A13" s="22">
        <v>42186</v>
      </c>
      <c r="B13" s="23">
        <v>2103.8400879999999</v>
      </c>
      <c r="C13" s="23">
        <v>6696.28</v>
      </c>
      <c r="D13" s="23">
        <v>20585.240234000001</v>
      </c>
      <c r="E13" s="23">
        <v>11308.990234000001</v>
      </c>
      <c r="F13" s="23">
        <v>5082.6098629999997</v>
      </c>
      <c r="G13" s="23">
        <v>14468.400390999999</v>
      </c>
      <c r="H13" s="23">
        <v>20937.34</v>
      </c>
      <c r="I13" s="24">
        <f t="shared" si="2"/>
        <v>1.9742029696721345E-2</v>
      </c>
      <c r="J13" s="24">
        <f t="shared" si="1"/>
        <v>2.6882462451962772E-2</v>
      </c>
      <c r="K13" s="24">
        <f t="shared" si="1"/>
        <v>1.727191244889488E-2</v>
      </c>
      <c r="L13" s="24">
        <f t="shared" si="1"/>
        <v>3.3259160699367102E-2</v>
      </c>
      <c r="M13" s="24">
        <f t="shared" si="1"/>
        <v>6.1043308441516883E-2</v>
      </c>
      <c r="N13" s="24">
        <f t="shared" si="1"/>
        <v>-5.8336882451107686E-3</v>
      </c>
      <c r="O13" s="24">
        <f t="shared" si="1"/>
        <v>-4.1990752709328012E-2</v>
      </c>
      <c r="R13" s="7" t="s">
        <v>6</v>
      </c>
      <c r="S13" s="9">
        <v>6.8111368335587873E-4</v>
      </c>
      <c r="T13" s="9">
        <v>4.9757323740314062E-4</v>
      </c>
      <c r="U13" s="9">
        <v>7.3490669328114312E-4</v>
      </c>
      <c r="V13" s="9">
        <v>7.6520092022405208E-4</v>
      </c>
      <c r="W13" s="9">
        <v>7.0333081758622372E-4</v>
      </c>
      <c r="X13" s="9">
        <v>6.4259332877071476E-4</v>
      </c>
      <c r="Y13" s="9">
        <v>5.3347428357240507E-4</v>
      </c>
    </row>
    <row r="14" spans="1:26" customFormat="1">
      <c r="A14" s="22">
        <v>42217</v>
      </c>
      <c r="B14" s="23">
        <v>1972.1800539999999</v>
      </c>
      <c r="C14" s="23">
        <v>6247.94</v>
      </c>
      <c r="D14" s="23">
        <v>18890.480468999998</v>
      </c>
      <c r="E14" s="23">
        <v>10315.620117</v>
      </c>
      <c r="F14" s="23">
        <v>4652.9501950000003</v>
      </c>
      <c r="G14" s="23">
        <v>13859.099609000001</v>
      </c>
      <c r="H14" s="23">
        <v>20158.22</v>
      </c>
      <c r="I14" s="24">
        <f t="shared" si="2"/>
        <v>-6.2580818167202831E-2</v>
      </c>
      <c r="J14" s="24">
        <f t="shared" si="1"/>
        <v>-6.6953592143697713E-2</v>
      </c>
      <c r="K14" s="24">
        <f t="shared" si="1"/>
        <v>-8.2328879611558797E-2</v>
      </c>
      <c r="L14" s="24">
        <f t="shared" si="1"/>
        <v>-8.7838975580107517E-2</v>
      </c>
      <c r="M14" s="24">
        <f t="shared" si="1"/>
        <v>-8.4535244604903359E-2</v>
      </c>
      <c r="N14" s="24">
        <f t="shared" si="1"/>
        <v>-4.2112518698266821E-2</v>
      </c>
      <c r="O14" s="24">
        <f t="shared" si="1"/>
        <v>-3.7211985858757561E-2</v>
      </c>
      <c r="R14" s="7" t="s">
        <v>7</v>
      </c>
      <c r="S14" s="9">
        <v>8.3507068612120774E-4</v>
      </c>
      <c r="T14" s="9">
        <v>6.0968770941651927E-4</v>
      </c>
      <c r="U14" s="9">
        <v>1.5927450747812177E-3</v>
      </c>
      <c r="V14" s="9">
        <v>1.4501237720867743E-3</v>
      </c>
      <c r="W14" s="9">
        <v>1.1933815651238076E-3</v>
      </c>
      <c r="X14" s="9">
        <v>5.3347428357240507E-4</v>
      </c>
      <c r="Y14" s="9">
        <v>2.8548714055029868E-3</v>
      </c>
    </row>
    <row r="15" spans="1:26" customFormat="1">
      <c r="A15" s="22">
        <v>42248</v>
      </c>
      <c r="B15" s="23">
        <v>1920.030029</v>
      </c>
      <c r="C15" s="23">
        <v>6061.61</v>
      </c>
      <c r="D15" s="23">
        <v>17388.150390999999</v>
      </c>
      <c r="E15" s="23">
        <v>9660.4404300000006</v>
      </c>
      <c r="F15" s="23">
        <v>4455.2900390000004</v>
      </c>
      <c r="G15" s="23">
        <v>13307</v>
      </c>
      <c r="H15" s="23">
        <v>20476.48</v>
      </c>
      <c r="I15" s="24">
        <f t="shared" si="2"/>
        <v>-2.6442831573227094E-2</v>
      </c>
      <c r="J15" s="24">
        <f t="shared" si="1"/>
        <v>-2.9822629538695945E-2</v>
      </c>
      <c r="K15" s="24">
        <f t="shared" si="1"/>
        <v>-7.9528420701918109E-2</v>
      </c>
      <c r="L15" s="24">
        <f t="shared" si="1"/>
        <v>-6.3513359310340703E-2</v>
      </c>
      <c r="M15" s="24">
        <f t="shared" si="1"/>
        <v>-4.2480608585151618E-2</v>
      </c>
      <c r="N15" s="24">
        <f t="shared" si="1"/>
        <v>-3.9836614540346559E-2</v>
      </c>
      <c r="O15" s="24">
        <f t="shared" si="1"/>
        <v>1.5788100338224226E-2</v>
      </c>
    </row>
    <row r="16" spans="1:26" customFormat="1">
      <c r="A16" s="22">
        <v>42278</v>
      </c>
      <c r="B16" s="23">
        <v>2079.360107</v>
      </c>
      <c r="C16" s="23">
        <v>6361.09</v>
      </c>
      <c r="D16" s="23">
        <v>19083.099609000001</v>
      </c>
      <c r="E16" s="23">
        <v>10850.139648</v>
      </c>
      <c r="F16" s="23">
        <v>4897.6601559999999</v>
      </c>
      <c r="G16" s="23">
        <v>13529.200194999999</v>
      </c>
      <c r="H16" s="23">
        <v>21052.48</v>
      </c>
      <c r="I16" s="24">
        <f t="shared" si="2"/>
        <v>8.2983117760394132E-2</v>
      </c>
      <c r="J16" s="24">
        <f t="shared" si="1"/>
        <v>4.9406015893467325E-2</v>
      </c>
      <c r="K16" s="24">
        <f t="shared" si="1"/>
        <v>9.7477257781097698E-2</v>
      </c>
      <c r="L16" s="24">
        <f t="shared" si="1"/>
        <v>0.12315165407008256</v>
      </c>
      <c r="M16" s="24">
        <f t="shared" si="1"/>
        <v>9.9290980638219103E-2</v>
      </c>
      <c r="N16" s="24">
        <f t="shared" si="1"/>
        <v>1.669799316149391E-2</v>
      </c>
      <c r="O16" s="24">
        <f t="shared" si="1"/>
        <v>2.8129834815358891E-2</v>
      </c>
      <c r="S16" s="7" t="s">
        <v>22</v>
      </c>
      <c r="T16" s="7" t="s">
        <v>23</v>
      </c>
    </row>
    <row r="17" spans="1:20" customFormat="1">
      <c r="A17" s="22">
        <v>42309</v>
      </c>
      <c r="B17" s="23">
        <v>2080.4099120000001</v>
      </c>
      <c r="C17" s="23">
        <v>6356.09</v>
      </c>
      <c r="D17" s="23">
        <v>19747.470702999999</v>
      </c>
      <c r="E17" s="23">
        <v>11382.230469</v>
      </c>
      <c r="F17" s="23">
        <v>4957.6000979999999</v>
      </c>
      <c r="G17" s="23">
        <v>13469.799805000001</v>
      </c>
      <c r="H17" s="23">
        <v>21572.63</v>
      </c>
      <c r="I17" s="24">
        <f t="shared" si="2"/>
        <v>5.0486926072401835E-4</v>
      </c>
      <c r="J17" s="24">
        <f t="shared" si="1"/>
        <v>-7.8602880952792682E-4</v>
      </c>
      <c r="K17" s="24">
        <f t="shared" si="1"/>
        <v>3.4814632193538753E-2</v>
      </c>
      <c r="L17" s="24">
        <f t="shared" si="1"/>
        <v>4.9039997480408444E-2</v>
      </c>
      <c r="M17" s="24">
        <f t="shared" si="1"/>
        <v>1.2238485336016845E-2</v>
      </c>
      <c r="N17" s="24">
        <f t="shared" si="1"/>
        <v>-4.3905322667892478E-3</v>
      </c>
      <c r="O17" s="24">
        <f t="shared" si="1"/>
        <v>2.4707302892580895E-2</v>
      </c>
      <c r="R17" s="7" t="s">
        <v>1</v>
      </c>
      <c r="S17" s="10">
        <v>-6.9590240495086775E-2</v>
      </c>
      <c r="T17" s="10">
        <v>4.0213791562280263E-2</v>
      </c>
    </row>
    <row r="18" spans="1:20" customFormat="1">
      <c r="A18" s="22">
        <v>42339</v>
      </c>
      <c r="B18" s="23">
        <v>2043.9399410000001</v>
      </c>
      <c r="C18" s="23">
        <v>6242.32</v>
      </c>
      <c r="D18" s="23">
        <v>19033.710938</v>
      </c>
      <c r="E18" s="23">
        <v>10743.009765999999</v>
      </c>
      <c r="F18" s="23">
        <v>4637.0600590000004</v>
      </c>
      <c r="G18" s="23">
        <v>13010</v>
      </c>
      <c r="H18" s="23">
        <v>20506.560000000001</v>
      </c>
      <c r="I18" s="24">
        <f t="shared" si="2"/>
        <v>-1.7530185176314418E-2</v>
      </c>
      <c r="J18" s="24">
        <f t="shared" si="1"/>
        <v>-1.7899368951666893E-2</v>
      </c>
      <c r="K18" s="24">
        <f t="shared" si="1"/>
        <v>-3.6144363788906182E-2</v>
      </c>
      <c r="L18" s="24">
        <f t="shared" si="1"/>
        <v>-5.6159529078324874E-2</v>
      </c>
      <c r="M18" s="24">
        <f t="shared" si="1"/>
        <v>-6.4656291887946374E-2</v>
      </c>
      <c r="N18" s="24">
        <f t="shared" si="1"/>
        <v>-3.4135607927099444E-2</v>
      </c>
      <c r="O18" s="24">
        <f t="shared" si="1"/>
        <v>-4.9417711238731656E-2</v>
      </c>
      <c r="R18" s="7" t="s">
        <v>2</v>
      </c>
      <c r="S18" s="10">
        <v>0.32997044412082888</v>
      </c>
      <c r="T18" s="10">
        <v>-2.1515247960650272E-2</v>
      </c>
    </row>
    <row r="19" spans="1:20" customFormat="1">
      <c r="A19" s="22">
        <v>42370</v>
      </c>
      <c r="B19" s="23">
        <v>1940.23999</v>
      </c>
      <c r="C19" s="23">
        <v>6083.79</v>
      </c>
      <c r="D19" s="23">
        <v>17518.300781000002</v>
      </c>
      <c r="E19" s="23">
        <v>9798.1103519999997</v>
      </c>
      <c r="F19" s="23">
        <v>4417.0200199999999</v>
      </c>
      <c r="G19" s="23">
        <v>12822.099609000001</v>
      </c>
      <c r="H19" s="23">
        <v>17836.03</v>
      </c>
      <c r="I19" s="24">
        <f t="shared" si="2"/>
        <v>-5.073532197294639E-2</v>
      </c>
      <c r="J19" s="24">
        <f t="shared" si="1"/>
        <v>-2.5396006612925924E-2</v>
      </c>
      <c r="K19" s="24">
        <f t="shared" si="1"/>
        <v>-7.9617167768085945E-2</v>
      </c>
      <c r="L19" s="24">
        <f t="shared" si="1"/>
        <v>-8.7954812904523574E-2</v>
      </c>
      <c r="M19" s="24">
        <f t="shared" si="1"/>
        <v>-4.7452488473365362E-2</v>
      </c>
      <c r="N19" s="24">
        <f t="shared" si="1"/>
        <v>-1.4442766410453438E-2</v>
      </c>
      <c r="O19" s="24">
        <f t="shared" si="1"/>
        <v>-0.13022808311096559</v>
      </c>
      <c r="R19" s="7" t="s">
        <v>3</v>
      </c>
      <c r="S19" s="10">
        <v>-2.3100486546181569E-2</v>
      </c>
      <c r="T19" s="10">
        <v>0.39729182461453222</v>
      </c>
    </row>
    <row r="20" spans="1:20" customFormat="1">
      <c r="A20" s="22">
        <v>42401</v>
      </c>
      <c r="B20" s="23">
        <v>1932.2299800000001</v>
      </c>
      <c r="C20" s="23">
        <v>6097.09</v>
      </c>
      <c r="D20" s="23">
        <v>16026.759765999999</v>
      </c>
      <c r="E20" s="23">
        <v>9495.4003909999992</v>
      </c>
      <c r="F20" s="23">
        <v>4353.5498049999997</v>
      </c>
      <c r="G20" s="23">
        <v>12860.400390999999</v>
      </c>
      <c r="H20" s="23">
        <v>15773</v>
      </c>
      <c r="I20" s="24">
        <f t="shared" si="2"/>
        <v>-4.1283604302991229E-3</v>
      </c>
      <c r="J20" s="24">
        <f t="shared" si="1"/>
        <v>2.1861372598331276E-3</v>
      </c>
      <c r="K20" s="24">
        <f t="shared" si="1"/>
        <v>-8.5141877265727625E-2</v>
      </c>
      <c r="L20" s="24">
        <f t="shared" si="1"/>
        <v>-3.0894728690028586E-2</v>
      </c>
      <c r="M20" s="24">
        <f t="shared" si="1"/>
        <v>-1.4369465094704343E-2</v>
      </c>
      <c r="N20" s="24">
        <f t="shared" si="1"/>
        <v>2.9870912851990799E-3</v>
      </c>
      <c r="O20" s="24">
        <f t="shared" si="1"/>
        <v>-0.11566643473912069</v>
      </c>
      <c r="R20" s="7" t="s">
        <v>4</v>
      </c>
      <c r="S20" s="10">
        <v>-0.2115729813104453</v>
      </c>
      <c r="T20" s="10">
        <v>0.59033419655242836</v>
      </c>
    </row>
    <row r="21" spans="1:20" customFormat="1">
      <c r="A21" s="22">
        <v>42430</v>
      </c>
      <c r="B21" s="23">
        <v>2059.73999</v>
      </c>
      <c r="C21" s="23">
        <v>6174.9</v>
      </c>
      <c r="D21" s="23">
        <v>16758.669922000001</v>
      </c>
      <c r="E21" s="23">
        <v>9965.5097659999992</v>
      </c>
      <c r="F21" s="23">
        <v>4385.0600590000004</v>
      </c>
      <c r="G21" s="23">
        <v>13494.400390999999</v>
      </c>
      <c r="H21" s="23">
        <v>17533.75</v>
      </c>
      <c r="I21" s="24">
        <f t="shared" si="2"/>
        <v>6.5991114577365145E-2</v>
      </c>
      <c r="J21" s="24">
        <f t="shared" si="2"/>
        <v>1.2761825723418793E-2</v>
      </c>
      <c r="K21" s="24">
        <f t="shared" si="2"/>
        <v>4.5668005678397572E-2</v>
      </c>
      <c r="L21" s="24">
        <f t="shared" si="2"/>
        <v>4.9509168191115199E-2</v>
      </c>
      <c r="M21" s="24">
        <f t="shared" si="2"/>
        <v>7.2378301412359099E-3</v>
      </c>
      <c r="N21" s="24">
        <f t="shared" si="2"/>
        <v>4.929862062799286E-2</v>
      </c>
      <c r="O21" s="24">
        <f t="shared" si="2"/>
        <v>0.11163063462879605</v>
      </c>
      <c r="R21" s="7" t="s">
        <v>5</v>
      </c>
      <c r="S21" s="10">
        <v>6.7616537527979354E-3</v>
      </c>
      <c r="T21" s="10">
        <v>-0.92107239634009341</v>
      </c>
    </row>
    <row r="22" spans="1:20" customFormat="1">
      <c r="A22" s="22">
        <v>42461</v>
      </c>
      <c r="B22" s="23">
        <v>2065.3000489999999</v>
      </c>
      <c r="C22" s="23">
        <v>6241.89</v>
      </c>
      <c r="D22" s="23">
        <v>16666.050781000002</v>
      </c>
      <c r="E22" s="23">
        <v>10038.969727</v>
      </c>
      <c r="F22" s="23">
        <v>4428.9599609999996</v>
      </c>
      <c r="G22" s="23">
        <v>13951.5</v>
      </c>
      <c r="H22" s="23">
        <v>16777.87</v>
      </c>
      <c r="I22" s="24">
        <f t="shared" si="2"/>
        <v>2.6993984808732631E-3</v>
      </c>
      <c r="J22" s="24">
        <f t="shared" si="2"/>
        <v>1.0848758684351275E-2</v>
      </c>
      <c r="K22" s="24">
        <f t="shared" si="2"/>
        <v>-5.5266403259373901E-3</v>
      </c>
      <c r="L22" s="24">
        <f t="shared" si="2"/>
        <v>7.3714203011098108E-3</v>
      </c>
      <c r="M22" s="24">
        <f t="shared" si="2"/>
        <v>1.0011243040992794E-2</v>
      </c>
      <c r="N22" s="24">
        <f t="shared" si="2"/>
        <v>3.3873280453784398E-2</v>
      </c>
      <c r="O22" s="24">
        <f t="shared" si="2"/>
        <v>-4.3110002138732506E-2</v>
      </c>
      <c r="R22" s="7" t="s">
        <v>6</v>
      </c>
      <c r="S22" s="10">
        <v>0.8684951331097519</v>
      </c>
      <c r="T22" s="10">
        <v>1.0458145895067055</v>
      </c>
    </row>
    <row r="23" spans="1:20" customFormat="1">
      <c r="A23" s="22">
        <v>42491</v>
      </c>
      <c r="B23" s="23">
        <v>2096.9499510000001</v>
      </c>
      <c r="C23" s="23">
        <v>6230.79</v>
      </c>
      <c r="D23" s="23">
        <v>17234.980468999998</v>
      </c>
      <c r="E23" s="23">
        <v>10262.740234000001</v>
      </c>
      <c r="F23" s="23">
        <v>4505.6201170000004</v>
      </c>
      <c r="G23" s="23">
        <v>14065.799805000001</v>
      </c>
      <c r="H23" s="23">
        <v>17247.62</v>
      </c>
      <c r="I23" s="24">
        <f t="shared" si="2"/>
        <v>1.5324602357572555E-2</v>
      </c>
      <c r="J23" s="24">
        <f t="shared" si="2"/>
        <v>-1.778307531853391E-3</v>
      </c>
      <c r="K23" s="24">
        <f t="shared" si="2"/>
        <v>3.4137042750919749E-2</v>
      </c>
      <c r="L23" s="24">
        <f t="shared" si="2"/>
        <v>2.2290186451919072E-2</v>
      </c>
      <c r="M23" s="24">
        <f t="shared" si="2"/>
        <v>1.7308839247824673E-2</v>
      </c>
      <c r="N23" s="24">
        <f t="shared" si="2"/>
        <v>8.1926534781206727E-3</v>
      </c>
      <c r="O23" s="24">
        <f t="shared" si="2"/>
        <v>2.7998190473522564E-2</v>
      </c>
      <c r="R23" s="7" t="s">
        <v>7</v>
      </c>
      <c r="S23" s="10">
        <v>9.9036477368334958E-2</v>
      </c>
      <c r="T23" s="10">
        <v>-0.13106675793520325</v>
      </c>
    </row>
    <row r="24" spans="1:20" customFormat="1">
      <c r="A24" s="22">
        <v>42522</v>
      </c>
      <c r="B24" s="23">
        <v>2098.860107</v>
      </c>
      <c r="C24" s="23">
        <v>6504.33</v>
      </c>
      <c r="D24" s="23">
        <v>15575.919921999999</v>
      </c>
      <c r="E24" s="23">
        <v>9680.0898440000001</v>
      </c>
      <c r="F24" s="23">
        <v>4237.4799800000001</v>
      </c>
      <c r="G24" s="23">
        <v>14064.5</v>
      </c>
      <c r="H24" s="23">
        <v>15017.42</v>
      </c>
      <c r="I24" s="24">
        <f t="shared" si="2"/>
        <v>9.1092112097811118E-4</v>
      </c>
      <c r="J24" s="24">
        <f t="shared" si="2"/>
        <v>4.3901335143697665E-2</v>
      </c>
      <c r="K24" s="24">
        <f t="shared" si="2"/>
        <v>-9.6261237428385701E-2</v>
      </c>
      <c r="L24" s="24">
        <f t="shared" si="2"/>
        <v>-5.6773374041925562E-2</v>
      </c>
      <c r="M24" s="24">
        <f t="shared" si="2"/>
        <v>-5.9512371224615675E-2</v>
      </c>
      <c r="N24" s="24">
        <f t="shared" si="2"/>
        <v>-9.2408893772149092E-5</v>
      </c>
      <c r="O24" s="24">
        <f t="shared" si="2"/>
        <v>-0.12930479683573728</v>
      </c>
      <c r="S24" s="10"/>
    </row>
    <row r="25" spans="1:20" customFormat="1">
      <c r="A25" s="22">
        <v>42552</v>
      </c>
      <c r="B25" s="23">
        <v>2173.6000979999999</v>
      </c>
      <c r="C25" s="23">
        <v>6724.43</v>
      </c>
      <c r="D25" s="23">
        <v>16569.269531000002</v>
      </c>
      <c r="E25" s="23">
        <v>10337.5</v>
      </c>
      <c r="F25" s="23">
        <v>4439.8100590000004</v>
      </c>
      <c r="G25" s="23">
        <v>14582.700194999999</v>
      </c>
      <c r="H25" s="23">
        <v>15293.1</v>
      </c>
      <c r="I25" s="24">
        <f t="shared" si="2"/>
        <v>3.5609801125254283E-2</v>
      </c>
      <c r="J25" s="24">
        <f t="shared" si="2"/>
        <v>3.3838996483880793E-2</v>
      </c>
      <c r="K25" s="24">
        <f t="shared" si="2"/>
        <v>6.377469927775882E-2</v>
      </c>
      <c r="L25" s="24">
        <f t="shared" si="2"/>
        <v>6.7913641980036146E-2</v>
      </c>
      <c r="M25" s="24">
        <f t="shared" si="2"/>
        <v>4.7747736851844733E-2</v>
      </c>
      <c r="N25" s="24">
        <f t="shared" si="2"/>
        <v>3.6844551530448966E-2</v>
      </c>
      <c r="O25" s="24">
        <f t="shared" si="2"/>
        <v>1.8357347666909517E-2</v>
      </c>
      <c r="R25" s="7" t="s">
        <v>24</v>
      </c>
      <c r="S25" s="10">
        <f>SUM(S17:S23)</f>
        <v>1</v>
      </c>
      <c r="T25" s="10">
        <f>SUM(T17:T23)</f>
        <v>0.99999999999999944</v>
      </c>
    </row>
    <row r="26" spans="1:20" customFormat="1">
      <c r="A26" s="22">
        <v>42583</v>
      </c>
      <c r="B26" s="23">
        <v>2170.9499510000001</v>
      </c>
      <c r="C26" s="23">
        <v>6781.51</v>
      </c>
      <c r="D26" s="23">
        <v>16887.400390999999</v>
      </c>
      <c r="E26" s="23">
        <v>10592.690430000001</v>
      </c>
      <c r="F26" s="23">
        <v>4438.2202150000003</v>
      </c>
      <c r="G26" s="23">
        <v>14598</v>
      </c>
      <c r="H26" s="23">
        <v>15978.08</v>
      </c>
      <c r="I26" s="24">
        <f t="shared" si="2"/>
        <v>-1.2192431360480338E-3</v>
      </c>
      <c r="J26" s="24">
        <f t="shared" si="2"/>
        <v>8.4884518092983238E-3</v>
      </c>
      <c r="K26" s="24">
        <f t="shared" si="2"/>
        <v>1.9200053412420856E-2</v>
      </c>
      <c r="L26" s="24">
        <f t="shared" si="2"/>
        <v>2.4685894074969825E-2</v>
      </c>
      <c r="M26" s="24">
        <f t="shared" si="2"/>
        <v>-3.5808829181268459E-4</v>
      </c>
      <c r="N26" s="24">
        <f t="shared" si="2"/>
        <v>1.0491750358583409E-3</v>
      </c>
      <c r="O26" s="24">
        <f t="shared" si="2"/>
        <v>4.4790134112769782E-2</v>
      </c>
    </row>
    <row r="27" spans="1:20" customFormat="1">
      <c r="A27" s="22">
        <v>42614</v>
      </c>
      <c r="B27" s="23">
        <v>2168.2700199999999</v>
      </c>
      <c r="C27" s="23">
        <v>6899.33</v>
      </c>
      <c r="D27" s="23">
        <v>16449.839843999998</v>
      </c>
      <c r="E27" s="23">
        <v>10511.019531</v>
      </c>
      <c r="F27" s="23">
        <v>4448.2597660000001</v>
      </c>
      <c r="G27" s="23">
        <v>14725.900390999999</v>
      </c>
      <c r="H27" s="23">
        <v>15922.35</v>
      </c>
      <c r="I27" s="24">
        <f t="shared" si="2"/>
        <v>-1.2344508443253945E-3</v>
      </c>
      <c r="J27" s="24">
        <f t="shared" si="2"/>
        <v>1.7373711754461722E-2</v>
      </c>
      <c r="K27" s="24">
        <f t="shared" si="2"/>
        <v>-2.5910473895863526E-2</v>
      </c>
      <c r="L27" s="24">
        <f t="shared" si="2"/>
        <v>-7.7101185520061155E-3</v>
      </c>
      <c r="M27" s="24">
        <f t="shared" si="2"/>
        <v>2.2620668902522778E-3</v>
      </c>
      <c r="N27" s="24">
        <f t="shared" si="2"/>
        <v>8.7615009590354311E-3</v>
      </c>
      <c r="O27" s="24">
        <f t="shared" si="2"/>
        <v>-3.4879034276959161E-3</v>
      </c>
      <c r="R27" s="7" t="s">
        <v>25</v>
      </c>
      <c r="S27" s="11">
        <f t="array" ref="S27">MMULT(S4:Y4,S17:S23)</f>
        <v>4.1000331120854671E-3</v>
      </c>
      <c r="T27" s="11">
        <f>MMULT(S4:Y4,T17:T23)</f>
        <v>5.5000001354396401E-3</v>
      </c>
    </row>
    <row r="28" spans="1:20" customFormat="1">
      <c r="A28" s="22">
        <v>42644</v>
      </c>
      <c r="B28" s="23">
        <v>2126.1499020000001</v>
      </c>
      <c r="C28" s="23">
        <v>6954.22</v>
      </c>
      <c r="D28" s="23">
        <v>17425.019531000002</v>
      </c>
      <c r="E28" s="23">
        <v>10665.009765999999</v>
      </c>
      <c r="F28" s="23">
        <v>4509.2597660000001</v>
      </c>
      <c r="G28" s="23">
        <v>14787.299805000001</v>
      </c>
      <c r="H28" s="23">
        <v>16133.96</v>
      </c>
      <c r="I28" s="24">
        <f t="shared" si="2"/>
        <v>-1.9425679279557545E-2</v>
      </c>
      <c r="J28" s="24">
        <f t="shared" si="2"/>
        <v>7.9558449878466934E-3</v>
      </c>
      <c r="K28" s="24">
        <f t="shared" si="2"/>
        <v>5.928201710460395E-2</v>
      </c>
      <c r="L28" s="24">
        <f t="shared" si="2"/>
        <v>1.4650361417923171E-2</v>
      </c>
      <c r="M28" s="24">
        <f t="shared" si="2"/>
        <v>1.3713227915835704E-2</v>
      </c>
      <c r="N28" s="24">
        <f t="shared" si="2"/>
        <v>4.1694845387876388E-3</v>
      </c>
      <c r="O28" s="24">
        <f t="shared" si="2"/>
        <v>1.3290123631247822E-2</v>
      </c>
      <c r="R28" s="7" t="s">
        <v>26</v>
      </c>
      <c r="S28" s="14">
        <f t="array" ref="S28">MMULT(TRANSPOSE(S17:S23),MMULT(S8:Y14,S17:S23))</f>
        <v>5.5359132677900455E-4</v>
      </c>
      <c r="T28" s="9">
        <f t="array" ref="T28">MMULT(TRANSPOSE(T17:T23),MMULT(S8:Y14,T17:T23))</f>
        <v>1.117420532358724E-3</v>
      </c>
    </row>
    <row r="29" spans="1:20" customFormat="1">
      <c r="A29" s="22">
        <v>42675</v>
      </c>
      <c r="B29" s="23">
        <v>2198.8100589999999</v>
      </c>
      <c r="C29" s="23">
        <v>6783.79</v>
      </c>
      <c r="D29" s="23">
        <v>18308.480468999998</v>
      </c>
      <c r="E29" s="23">
        <v>10640.299805000001</v>
      </c>
      <c r="F29" s="23">
        <v>4578.3398440000001</v>
      </c>
      <c r="G29" s="23">
        <v>15082.900390999999</v>
      </c>
      <c r="H29" s="23">
        <v>16039.59</v>
      </c>
      <c r="I29" s="24">
        <f t="shared" si="2"/>
        <v>3.4174522187570479E-2</v>
      </c>
      <c r="J29" s="24">
        <f t="shared" si="2"/>
        <v>-2.4507421393053466E-2</v>
      </c>
      <c r="K29" s="24">
        <f t="shared" si="2"/>
        <v>5.0700714362372695E-2</v>
      </c>
      <c r="L29" s="24">
        <f t="shared" si="2"/>
        <v>-2.3169187410192436E-3</v>
      </c>
      <c r="M29" s="24">
        <f t="shared" si="2"/>
        <v>1.5319604898539339E-2</v>
      </c>
      <c r="N29" s="24">
        <f t="shared" si="2"/>
        <v>1.9990166554954666E-2</v>
      </c>
      <c r="O29" s="24">
        <f t="shared" si="2"/>
        <v>-5.8491529667855247E-3</v>
      </c>
      <c r="R29" s="7" t="s">
        <v>27</v>
      </c>
      <c r="S29" s="1"/>
      <c r="T29" s="14">
        <f t="array" ref="T29">MMULT(TRANSPOSE(S17:S23),MMULT(S8:Y14,T17:T23))</f>
        <v>5.5359120610488184E-4</v>
      </c>
    </row>
    <row r="30" spans="1:20" customFormat="1">
      <c r="A30" s="22">
        <v>42705</v>
      </c>
      <c r="B30" s="23">
        <v>2238.830078</v>
      </c>
      <c r="C30" s="23">
        <v>7142.83</v>
      </c>
      <c r="D30" s="23">
        <v>19114.369140999999</v>
      </c>
      <c r="E30" s="23">
        <v>11481.059569999999</v>
      </c>
      <c r="F30" s="23">
        <v>4862.3100590000004</v>
      </c>
      <c r="G30" s="23">
        <v>15287.599609000001</v>
      </c>
      <c r="H30" s="23">
        <v>16723.18</v>
      </c>
      <c r="I30" s="24">
        <f t="shared" si="2"/>
        <v>1.8200762196895176E-2</v>
      </c>
      <c r="J30" s="24">
        <f t="shared" si="2"/>
        <v>5.2926166641361239E-2</v>
      </c>
      <c r="K30" s="24">
        <f t="shared" si="2"/>
        <v>4.4017234164491985E-2</v>
      </c>
      <c r="L30" s="24">
        <f t="shared" si="2"/>
        <v>7.9016548443956072E-2</v>
      </c>
      <c r="M30" s="24">
        <f t="shared" si="2"/>
        <v>6.2024713034823868E-2</v>
      </c>
      <c r="N30" s="24">
        <f t="shared" si="2"/>
        <v>1.3571608423678648E-2</v>
      </c>
      <c r="O30" s="24">
        <f t="shared" si="2"/>
        <v>4.2618919810294413E-2</v>
      </c>
      <c r="R30" s="7" t="s">
        <v>28</v>
      </c>
      <c r="T30" s="8">
        <v>5.4999999999999997E-3</v>
      </c>
    </row>
    <row r="31" spans="1:20" customFormat="1">
      <c r="A31" s="22">
        <v>42736</v>
      </c>
      <c r="B31" s="23">
        <v>2278.8701169999999</v>
      </c>
      <c r="C31" s="23">
        <v>7099.15</v>
      </c>
      <c r="D31" s="23">
        <v>19041.339843999998</v>
      </c>
      <c r="E31" s="23">
        <v>11535.309569999999</v>
      </c>
      <c r="F31" s="23">
        <v>4748.8999020000001</v>
      </c>
      <c r="G31" s="23">
        <v>15386</v>
      </c>
      <c r="H31" s="23">
        <v>18523.66</v>
      </c>
      <c r="I31" s="24">
        <f t="shared" si="2"/>
        <v>1.7884358171464578E-2</v>
      </c>
      <c r="J31" s="24">
        <f t="shared" si="2"/>
        <v>-6.1152232378483447E-3</v>
      </c>
      <c r="K31" s="24">
        <f t="shared" si="2"/>
        <v>-3.8206490866263716E-3</v>
      </c>
      <c r="L31" s="24">
        <f t="shared" si="2"/>
        <v>4.7251736365653231E-3</v>
      </c>
      <c r="M31" s="24">
        <f t="shared" si="2"/>
        <v>-2.3324336709067167E-2</v>
      </c>
      <c r="N31" s="24">
        <f t="shared" si="2"/>
        <v>6.4366148719691534E-3</v>
      </c>
      <c r="O31" s="24">
        <f t="shared" si="2"/>
        <v>0.1076637338113923</v>
      </c>
    </row>
    <row r="32" spans="1:20" customFormat="1">
      <c r="A32" s="22">
        <v>42767</v>
      </c>
      <c r="B32" s="23">
        <v>2363.639893</v>
      </c>
      <c r="C32" s="23">
        <v>7263.44</v>
      </c>
      <c r="D32" s="23">
        <v>19118.990234000001</v>
      </c>
      <c r="E32" s="23">
        <v>11834.410156</v>
      </c>
      <c r="F32" s="23">
        <v>4858.580078</v>
      </c>
      <c r="G32" s="23">
        <v>15399.200194999999</v>
      </c>
      <c r="H32" s="23">
        <v>18424.310000000001</v>
      </c>
      <c r="I32" s="24">
        <f t="shared" si="2"/>
        <v>3.719816033727915E-2</v>
      </c>
      <c r="J32" s="24">
        <f t="shared" si="2"/>
        <v>2.3142207165646588E-2</v>
      </c>
      <c r="K32" s="24">
        <f t="shared" si="2"/>
        <v>4.0779898177422877E-3</v>
      </c>
      <c r="L32" s="24">
        <f t="shared" si="2"/>
        <v>2.5929133863721743E-2</v>
      </c>
      <c r="M32" s="24">
        <f t="shared" si="2"/>
        <v>2.309591237200178E-2</v>
      </c>
      <c r="N32" s="24">
        <f t="shared" si="2"/>
        <v>8.5793546080849075E-4</v>
      </c>
      <c r="O32" s="24">
        <f t="shared" si="2"/>
        <v>-5.3634109025969242E-3</v>
      </c>
      <c r="R32" s="7" t="s">
        <v>29</v>
      </c>
      <c r="S32" s="12">
        <v>1</v>
      </c>
    </row>
    <row r="33" spans="1:20" customFormat="1">
      <c r="A33" s="22">
        <v>42795</v>
      </c>
      <c r="B33" s="23">
        <v>2362.719971</v>
      </c>
      <c r="C33" s="23">
        <v>7322.92</v>
      </c>
      <c r="D33" s="23">
        <v>18909.259765999999</v>
      </c>
      <c r="E33" s="23">
        <v>12312.870117</v>
      </c>
      <c r="F33" s="23">
        <v>5122.5097660000001</v>
      </c>
      <c r="G33" s="23">
        <v>15547.799805000001</v>
      </c>
      <c r="H33" s="23">
        <v>19028.490000000002</v>
      </c>
      <c r="I33" s="24">
        <f t="shared" si="2"/>
        <v>-3.8919718808453973E-4</v>
      </c>
      <c r="J33" s="24">
        <f t="shared" si="2"/>
        <v>8.1889572984702123E-3</v>
      </c>
      <c r="K33" s="24">
        <f t="shared" si="2"/>
        <v>-1.0969746070952543E-2</v>
      </c>
      <c r="L33" s="24">
        <f t="shared" si="2"/>
        <v>4.0429557087593687E-2</v>
      </c>
      <c r="M33" s="24">
        <f t="shared" si="2"/>
        <v>5.4322391267171408E-2</v>
      </c>
      <c r="N33" s="24">
        <f t="shared" si="2"/>
        <v>9.6498264921739407E-3</v>
      </c>
      <c r="O33" s="24">
        <f t="shared" si="2"/>
        <v>3.2792544198398763E-2</v>
      </c>
      <c r="R33" s="7" t="s">
        <v>30</v>
      </c>
      <c r="S33" s="12">
        <f>1-S32</f>
        <v>0</v>
      </c>
    </row>
    <row r="34" spans="1:20" customFormat="1">
      <c r="A34" s="22">
        <v>42826</v>
      </c>
      <c r="B34" s="23">
        <v>2384.1999510000001</v>
      </c>
      <c r="C34" s="23">
        <v>7203.94</v>
      </c>
      <c r="D34" s="23">
        <v>19196.740234000001</v>
      </c>
      <c r="E34" s="23">
        <v>12438.009765999999</v>
      </c>
      <c r="F34" s="23">
        <v>5267.330078</v>
      </c>
      <c r="G34" s="23">
        <v>15586.099609000001</v>
      </c>
      <c r="H34" s="23">
        <v>19442.71</v>
      </c>
      <c r="I34" s="24">
        <f t="shared" si="2"/>
        <v>9.0912085493182089E-3</v>
      </c>
      <c r="J34" s="24">
        <f t="shared" si="2"/>
        <v>-1.6247617070786036E-2</v>
      </c>
      <c r="K34" s="24">
        <f t="shared" si="2"/>
        <v>1.520315821758972E-2</v>
      </c>
      <c r="L34" s="24">
        <f t="shared" si="2"/>
        <v>1.0163320802614687E-2</v>
      </c>
      <c r="M34" s="24">
        <f t="shared" si="2"/>
        <v>2.8271358887634736E-2</v>
      </c>
      <c r="N34" s="24">
        <f t="shared" si="2"/>
        <v>2.4633584481634132E-3</v>
      </c>
      <c r="O34" s="24">
        <f t="shared" si="2"/>
        <v>2.1768411471430341E-2</v>
      </c>
      <c r="R34" s="7" t="s">
        <v>25</v>
      </c>
      <c r="S34" s="11">
        <f t="array" ref="S34">MMULT(S27:T27,S32:S33)</f>
        <v>4.1000331120854671E-3</v>
      </c>
    </row>
    <row r="35" spans="1:20" customFormat="1">
      <c r="A35" s="22">
        <v>42856</v>
      </c>
      <c r="B35" s="23">
        <v>2411.8000489999999</v>
      </c>
      <c r="C35" s="23">
        <v>7519.95</v>
      </c>
      <c r="D35" s="23">
        <v>19650.570313</v>
      </c>
      <c r="E35" s="23">
        <v>12615.059569999999</v>
      </c>
      <c r="F35" s="23">
        <v>5283.6298829999996</v>
      </c>
      <c r="G35" s="23">
        <v>15349.900390999999</v>
      </c>
      <c r="H35" s="23">
        <v>20572.22</v>
      </c>
      <c r="I35" s="24">
        <f t="shared" si="2"/>
        <v>1.1576251391341417E-2</v>
      </c>
      <c r="J35" s="24">
        <f t="shared" si="2"/>
        <v>4.3866273178288583E-2</v>
      </c>
      <c r="K35" s="24">
        <f t="shared" si="2"/>
        <v>2.3640997037413961E-2</v>
      </c>
      <c r="L35" s="24">
        <f t="shared" si="2"/>
        <v>1.4234576699238156E-2</v>
      </c>
      <c r="M35" s="24">
        <f t="shared" si="2"/>
        <v>3.0945098861525442E-3</v>
      </c>
      <c r="N35" s="24">
        <f t="shared" si="2"/>
        <v>-1.5154478921949866E-2</v>
      </c>
      <c r="O35" s="24">
        <f t="shared" si="2"/>
        <v>5.8094267722966712E-2</v>
      </c>
      <c r="R35" s="7" t="s">
        <v>26</v>
      </c>
      <c r="S35" s="9">
        <f>S32^2*S28+S33^2*T28+2*S32*S33*T29</f>
        <v>5.5359132677900455E-4</v>
      </c>
    </row>
    <row r="36" spans="1:20" customFormat="1">
      <c r="A36" s="22">
        <v>42887</v>
      </c>
      <c r="B36" s="23">
        <v>2423.4099120000001</v>
      </c>
      <c r="C36" s="23">
        <v>7312.72</v>
      </c>
      <c r="D36" s="23">
        <v>20033.429688</v>
      </c>
      <c r="E36" s="23">
        <v>12325.120117</v>
      </c>
      <c r="F36" s="23">
        <v>5120.6801759999998</v>
      </c>
      <c r="G36" s="23">
        <v>15182.200194999999</v>
      </c>
      <c r="H36" s="23">
        <v>20537.349999999999</v>
      </c>
      <c r="I36" s="24">
        <f t="shared" si="2"/>
        <v>4.8137750908554414E-3</v>
      </c>
      <c r="J36" s="24">
        <f t="shared" si="2"/>
        <v>-2.7557364078218547E-2</v>
      </c>
      <c r="K36" s="24">
        <f t="shared" si="2"/>
        <v>1.9483372182165937E-2</v>
      </c>
      <c r="L36" s="24">
        <f t="shared" si="2"/>
        <v>-2.2983597611342794E-2</v>
      </c>
      <c r="M36" s="24">
        <f t="shared" si="2"/>
        <v>-3.084048478192767E-2</v>
      </c>
      <c r="N36" s="24">
        <f t="shared" si="2"/>
        <v>-1.092516509737915E-2</v>
      </c>
      <c r="O36" s="24">
        <f t="shared" si="2"/>
        <v>-1.6950042338650189E-3</v>
      </c>
      <c r="R36" s="7" t="s">
        <v>31</v>
      </c>
      <c r="S36" s="11">
        <f>SQRT(S35)</f>
        <v>2.3528521559566903E-2</v>
      </c>
    </row>
    <row r="37" spans="1:20" customFormat="1">
      <c r="A37" s="22">
        <v>42917</v>
      </c>
      <c r="B37" s="23">
        <v>2470.3000489999999</v>
      </c>
      <c r="C37" s="23">
        <v>7372</v>
      </c>
      <c r="D37" s="23">
        <v>19925.179688</v>
      </c>
      <c r="E37" s="23">
        <v>12118.25</v>
      </c>
      <c r="F37" s="23">
        <v>5093.7700199999999</v>
      </c>
      <c r="G37" s="23">
        <v>15143.900390999999</v>
      </c>
      <c r="H37" s="23">
        <v>20703.95</v>
      </c>
      <c r="I37" s="24">
        <f t="shared" si="2"/>
        <v>1.9348826118030613E-2</v>
      </c>
      <c r="J37" s="24">
        <f t="shared" si="2"/>
        <v>8.1064227811265491E-3</v>
      </c>
      <c r="K37" s="24">
        <f t="shared" si="2"/>
        <v>-5.4034681872191671E-3</v>
      </c>
      <c r="L37" s="24">
        <f t="shared" si="2"/>
        <v>-1.6784430093680393E-2</v>
      </c>
      <c r="M37" s="24">
        <f t="shared" si="2"/>
        <v>-5.2551917079540558E-3</v>
      </c>
      <c r="N37" s="24">
        <f t="shared" si="2"/>
        <v>-2.5226781038372565E-3</v>
      </c>
      <c r="O37" s="24">
        <f t="shared" si="2"/>
        <v>8.1120495097956741E-3</v>
      </c>
    </row>
    <row r="38" spans="1:20" customFormat="1">
      <c r="A38" s="22">
        <v>42948</v>
      </c>
      <c r="B38" s="23">
        <v>2471.6499020000001</v>
      </c>
      <c r="C38" s="23">
        <v>7430.62</v>
      </c>
      <c r="D38" s="23">
        <v>19646.240234000001</v>
      </c>
      <c r="E38" s="23">
        <v>12055.839844</v>
      </c>
      <c r="F38" s="23">
        <v>5085.5898440000001</v>
      </c>
      <c r="G38" s="23">
        <v>15211.900390999999</v>
      </c>
      <c r="H38" s="23">
        <v>21329.21</v>
      </c>
      <c r="I38" s="24">
        <f t="shared" si="2"/>
        <v>5.4643281108568138E-4</v>
      </c>
      <c r="J38" s="24">
        <f t="shared" si="2"/>
        <v>7.9517091698317818E-3</v>
      </c>
      <c r="K38" s="24">
        <f t="shared" si="2"/>
        <v>-1.3999344466037188E-2</v>
      </c>
      <c r="L38" s="24">
        <f t="shared" si="2"/>
        <v>-5.1500964248138072E-3</v>
      </c>
      <c r="M38" s="24">
        <f t="shared" si="2"/>
        <v>-1.6059178109497465E-3</v>
      </c>
      <c r="N38" s="24">
        <f t="shared" si="2"/>
        <v>4.49025668713539E-3</v>
      </c>
      <c r="O38" s="24">
        <f t="shared" si="2"/>
        <v>3.0200034292973001E-2</v>
      </c>
      <c r="S38" s="19" t="s">
        <v>32</v>
      </c>
      <c r="T38" s="19" t="s">
        <v>25</v>
      </c>
    </row>
    <row r="39" spans="1:20" customFormat="1">
      <c r="A39" s="22">
        <v>42979</v>
      </c>
      <c r="B39" s="23">
        <v>2519.360107</v>
      </c>
      <c r="C39" s="23">
        <v>7372.76</v>
      </c>
      <c r="D39" s="23">
        <v>20356.279297000001</v>
      </c>
      <c r="E39" s="23">
        <v>12828.860352</v>
      </c>
      <c r="F39" s="23">
        <v>5329.8100590000004</v>
      </c>
      <c r="G39" s="23">
        <v>15634.900390999999</v>
      </c>
      <c r="H39" s="23">
        <v>21581.89</v>
      </c>
      <c r="I39" s="24">
        <f t="shared" si="2"/>
        <v>1.9302978533243684E-2</v>
      </c>
      <c r="J39" s="24">
        <f t="shared" si="2"/>
        <v>-7.7866988219017627E-3</v>
      </c>
      <c r="K39" s="24">
        <f t="shared" si="2"/>
        <v>3.6141218601775965E-2</v>
      </c>
      <c r="L39" s="24">
        <f t="shared" si="2"/>
        <v>6.4120004744814163E-2</v>
      </c>
      <c r="M39" s="24">
        <f t="shared" si="2"/>
        <v>4.8022003836611461E-2</v>
      </c>
      <c r="N39" s="24">
        <f t="shared" si="2"/>
        <v>2.7807176560942025E-2</v>
      </c>
      <c r="O39" s="24">
        <f t="shared" si="2"/>
        <v>1.1846664738168939E-2</v>
      </c>
      <c r="S39" s="20">
        <f>S36</f>
        <v>2.3528521559566903E-2</v>
      </c>
      <c r="T39" s="20">
        <f>S34</f>
        <v>4.1000331120854671E-3</v>
      </c>
    </row>
    <row r="40" spans="1:20" customFormat="1">
      <c r="A40" s="22">
        <v>43009</v>
      </c>
      <c r="B40" s="23">
        <v>2575.26001</v>
      </c>
      <c r="C40" s="23">
        <v>7493.08</v>
      </c>
      <c r="D40" s="23">
        <v>22011.609375</v>
      </c>
      <c r="E40" s="23">
        <v>13229.570313</v>
      </c>
      <c r="F40" s="23">
        <v>5503.2900390000004</v>
      </c>
      <c r="G40" s="23">
        <v>16025.599609000001</v>
      </c>
      <c r="H40" s="23">
        <v>22021.02</v>
      </c>
      <c r="I40" s="24">
        <f t="shared" si="2"/>
        <v>2.2188135330349579E-2</v>
      </c>
      <c r="J40" s="24">
        <f t="shared" si="2"/>
        <v>1.6319532983577346E-2</v>
      </c>
      <c r="K40" s="24">
        <f t="shared" si="2"/>
        <v>8.1317909518167822E-2</v>
      </c>
      <c r="L40" s="24">
        <f t="shared" si="2"/>
        <v>3.1235039590833992E-2</v>
      </c>
      <c r="M40" s="24">
        <f t="shared" si="2"/>
        <v>3.2548998572108412E-2</v>
      </c>
      <c r="N40" s="24">
        <f t="shared" si="2"/>
        <v>2.4988916349278557E-2</v>
      </c>
      <c r="O40" s="24">
        <f t="shared" si="2"/>
        <v>2.0347152172492819E-2</v>
      </c>
      <c r="R40" s="21">
        <v>-0.5</v>
      </c>
      <c r="S40" s="8">
        <f t="dataTable" ref="S40:T55" dt2D="0" dtr="0" r1="S32"/>
        <v>4.2687319198382055E-2</v>
      </c>
      <c r="T40" s="8">
        <v>6.1999836471167266E-3</v>
      </c>
    </row>
    <row r="41" spans="1:20" customFormat="1">
      <c r="A41" s="22">
        <v>43040</v>
      </c>
      <c r="B41" s="23">
        <v>2584.8400879999999</v>
      </c>
      <c r="C41" s="23">
        <v>7326.67</v>
      </c>
      <c r="D41" s="23">
        <v>22724.960938</v>
      </c>
      <c r="E41" s="23">
        <v>13023.980469</v>
      </c>
      <c r="F41" s="23">
        <v>5372.7900390000004</v>
      </c>
      <c r="G41" s="23">
        <v>16067.5</v>
      </c>
      <c r="H41" s="23">
        <v>21932.57</v>
      </c>
      <c r="I41" s="24">
        <f t="shared" si="2"/>
        <v>3.7200430103366371E-3</v>
      </c>
      <c r="J41" s="24">
        <f t="shared" si="2"/>
        <v>-2.2208491034394384E-2</v>
      </c>
      <c r="K41" s="24">
        <f t="shared" si="2"/>
        <v>3.2407969396831084E-2</v>
      </c>
      <c r="L41" s="24">
        <f t="shared" si="2"/>
        <v>-1.5540175465712427E-2</v>
      </c>
      <c r="M41" s="24">
        <f t="shared" si="2"/>
        <v>-2.3713087821137822E-2</v>
      </c>
      <c r="N41" s="24">
        <f t="shared" si="2"/>
        <v>2.61459115554515E-3</v>
      </c>
      <c r="O41" s="24">
        <f t="shared" si="2"/>
        <v>-4.0166168506272975E-3</v>
      </c>
      <c r="R41" s="21">
        <v>-0.4</v>
      </c>
      <c r="S41" s="8">
        <v>4.0727100373955813E-2</v>
      </c>
      <c r="T41" s="8">
        <v>6.0599869447813086E-3</v>
      </c>
    </row>
    <row r="42" spans="1:20" customFormat="1">
      <c r="A42" s="22">
        <v>43070</v>
      </c>
      <c r="B42" s="23">
        <v>2673.610107</v>
      </c>
      <c r="C42" s="23">
        <v>7687.77</v>
      </c>
      <c r="D42" s="23">
        <v>22764.939452999999</v>
      </c>
      <c r="E42" s="23">
        <v>12917.639648</v>
      </c>
      <c r="F42" s="23">
        <v>5312.5600590000004</v>
      </c>
      <c r="G42" s="23">
        <v>16209.099609000001</v>
      </c>
      <c r="H42" s="23">
        <v>21833.8</v>
      </c>
      <c r="I42" s="24">
        <f t="shared" si="2"/>
        <v>3.4342557364422946E-2</v>
      </c>
      <c r="J42" s="24">
        <f t="shared" si="2"/>
        <v>4.9285691862742606E-2</v>
      </c>
      <c r="K42" s="24">
        <f t="shared" si="2"/>
        <v>1.75923360700471E-3</v>
      </c>
      <c r="L42" s="24">
        <f t="shared" si="2"/>
        <v>-8.1650015717633188E-3</v>
      </c>
      <c r="M42" s="24">
        <f t="shared" si="2"/>
        <v>-1.1210186804770478E-2</v>
      </c>
      <c r="N42" s="24">
        <f t="shared" si="2"/>
        <v>8.8127965769410795E-3</v>
      </c>
      <c r="O42" s="24">
        <f t="shared" si="2"/>
        <v>-4.5033482168300581E-3</v>
      </c>
      <c r="R42" s="21">
        <v>-0.3</v>
      </c>
      <c r="S42" s="8">
        <v>3.8813177895330168E-2</v>
      </c>
      <c r="T42" s="8">
        <v>5.9199902424458923E-3</v>
      </c>
    </row>
    <row r="43" spans="1:20" customFormat="1">
      <c r="A43" s="22">
        <v>43101</v>
      </c>
      <c r="B43" s="23">
        <v>2823.8100589999999</v>
      </c>
      <c r="C43" s="23">
        <v>7533.55</v>
      </c>
      <c r="D43" s="23">
        <v>23098.289063</v>
      </c>
      <c r="E43" s="23">
        <v>13189.480469</v>
      </c>
      <c r="F43" s="23">
        <v>5481.9301759999998</v>
      </c>
      <c r="G43" s="23">
        <v>15951.700194999999</v>
      </c>
      <c r="H43" s="23">
        <v>21613.89</v>
      </c>
      <c r="I43" s="24">
        <f t="shared" si="2"/>
        <v>5.6178704444133053E-2</v>
      </c>
      <c r="J43" s="24">
        <f t="shared" si="2"/>
        <v>-2.0060433649810056E-2</v>
      </c>
      <c r="K43" s="24">
        <f t="shared" si="2"/>
        <v>1.4643114280546517E-2</v>
      </c>
      <c r="L43" s="24">
        <f t="shared" si="2"/>
        <v>2.1044155775168112E-2</v>
      </c>
      <c r="M43" s="24">
        <f t="shared" si="2"/>
        <v>3.1881073365574442E-2</v>
      </c>
      <c r="N43" s="24">
        <f t="shared" si="2"/>
        <v>-1.5879932890108341E-2</v>
      </c>
      <c r="O43" s="24">
        <f t="shared" si="2"/>
        <v>-1.0071998461101588E-2</v>
      </c>
      <c r="R43" s="21">
        <v>-0.2</v>
      </c>
      <c r="S43" s="8">
        <v>3.695274605137458E-2</v>
      </c>
      <c r="T43" s="8">
        <v>5.7799935401104743E-3</v>
      </c>
    </row>
    <row r="44" spans="1:20" customFormat="1">
      <c r="A44" s="22">
        <v>43132</v>
      </c>
      <c r="B44" s="23">
        <v>2713.830078</v>
      </c>
      <c r="C44" s="23">
        <v>7231.91</v>
      </c>
      <c r="D44" s="23">
        <v>22068.240234000001</v>
      </c>
      <c r="E44" s="23">
        <v>12435.849609000001</v>
      </c>
      <c r="F44" s="23">
        <v>5320.4902339999999</v>
      </c>
      <c r="G44" s="23">
        <v>15442.700194999999</v>
      </c>
      <c r="H44" s="23">
        <v>21907.71</v>
      </c>
      <c r="I44" s="24">
        <f t="shared" si="2"/>
        <v>-3.8947372061896871E-2</v>
      </c>
      <c r="J44" s="24">
        <f t="shared" si="2"/>
        <v>-4.003955638444031E-2</v>
      </c>
      <c r="K44" s="24">
        <f t="shared" si="2"/>
        <v>-4.459416133335968E-2</v>
      </c>
      <c r="L44" s="24">
        <f t="shared" si="2"/>
        <v>-5.7138782817966298E-2</v>
      </c>
      <c r="M44" s="24">
        <f t="shared" si="2"/>
        <v>-2.944947068220374E-2</v>
      </c>
      <c r="N44" s="24">
        <f t="shared" si="2"/>
        <v>-3.1908824374692307E-2</v>
      </c>
      <c r="O44" s="24">
        <f t="shared" si="2"/>
        <v>1.3594036057368652E-2</v>
      </c>
      <c r="R44" s="21">
        <v>-0.1</v>
      </c>
      <c r="S44" s="8">
        <v>3.5154298344281777E-2</v>
      </c>
      <c r="T44" s="8">
        <v>5.6399968377750581E-3</v>
      </c>
    </row>
    <row r="45" spans="1:20" customFormat="1">
      <c r="A45" s="22">
        <v>43160</v>
      </c>
      <c r="B45" s="23">
        <v>2640.8701169999999</v>
      </c>
      <c r="C45" s="23">
        <v>7056.61</v>
      </c>
      <c r="D45" s="23">
        <v>21454.300781000002</v>
      </c>
      <c r="E45" s="23">
        <v>12096.730469</v>
      </c>
      <c r="F45" s="23">
        <v>5167.2998049999997</v>
      </c>
      <c r="G45" s="23">
        <v>15367.299805000001</v>
      </c>
      <c r="H45" s="23">
        <v>21460.46</v>
      </c>
      <c r="I45" s="24">
        <f t="shared" si="2"/>
        <v>-2.6884498624825112E-2</v>
      </c>
      <c r="J45" s="24">
        <f t="shared" si="2"/>
        <v>-2.4239792807156088E-2</v>
      </c>
      <c r="K45" s="24">
        <f t="shared" si="2"/>
        <v>-2.7820045753087167E-2</v>
      </c>
      <c r="L45" s="24">
        <f t="shared" si="2"/>
        <v>-2.7269479019316489E-2</v>
      </c>
      <c r="M45" s="24">
        <f t="shared" si="2"/>
        <v>-2.8792540210120839E-2</v>
      </c>
      <c r="N45" s="24">
        <f t="shared" si="2"/>
        <v>-4.88259106554512E-3</v>
      </c>
      <c r="O45" s="24">
        <f t="shared" si="2"/>
        <v>-2.0415187164701379E-2</v>
      </c>
      <c r="R45" s="21">
        <v>0</v>
      </c>
      <c r="S45" s="8">
        <v>3.3427840677476076E-2</v>
      </c>
      <c r="T45" s="8">
        <v>5.5000001354396401E-3</v>
      </c>
    </row>
    <row r="46" spans="1:20" customFormat="1">
      <c r="A46" s="22">
        <v>43191</v>
      </c>
      <c r="B46" s="23">
        <v>2648.0500489999999</v>
      </c>
      <c r="C46" s="23">
        <v>7509.3</v>
      </c>
      <c r="D46" s="23">
        <v>22467.869140999999</v>
      </c>
      <c r="E46" s="23">
        <v>12612.110352</v>
      </c>
      <c r="F46" s="23">
        <v>5520.5</v>
      </c>
      <c r="G46" s="23">
        <v>15607.900390999999</v>
      </c>
      <c r="H46" s="23">
        <v>22205.68</v>
      </c>
      <c r="I46" s="24">
        <f t="shared" si="2"/>
        <v>2.7187751316434801E-3</v>
      </c>
      <c r="J46" s="24">
        <f t="shared" si="2"/>
        <v>6.415120008049198E-2</v>
      </c>
      <c r="K46" s="24">
        <f t="shared" si="2"/>
        <v>4.7243131824534546E-2</v>
      </c>
      <c r="L46" s="24">
        <f t="shared" si="2"/>
        <v>4.2604890992715035E-2</v>
      </c>
      <c r="M46" s="24">
        <f t="shared" si="2"/>
        <v>6.8352951895346889E-2</v>
      </c>
      <c r="N46" s="24">
        <f t="shared" si="2"/>
        <v>1.5656659859119515E-2</v>
      </c>
      <c r="O46" s="24">
        <f t="shared" si="2"/>
        <v>3.4725257520109132E-2</v>
      </c>
      <c r="R46" s="21">
        <v>0.1</v>
      </c>
      <c r="S46" s="8">
        <v>3.1785105970835385E-2</v>
      </c>
      <c r="T46" s="8">
        <v>5.360003433104223E-3</v>
      </c>
    </row>
    <row r="47" spans="1:20" customFormat="1">
      <c r="A47" s="22">
        <v>43221</v>
      </c>
      <c r="B47" s="23">
        <v>2705.2700199999999</v>
      </c>
      <c r="C47" s="23">
        <v>7678.2</v>
      </c>
      <c r="D47" s="23">
        <v>22201.820313</v>
      </c>
      <c r="E47" s="23">
        <v>12604.889648</v>
      </c>
      <c r="F47" s="23">
        <v>5398.3999020000001</v>
      </c>
      <c r="G47" s="23">
        <v>16061.5</v>
      </c>
      <c r="H47" s="23">
        <v>21122.51</v>
      </c>
      <c r="I47" s="24">
        <f t="shared" si="2"/>
        <v>2.1608341965291905E-2</v>
      </c>
      <c r="J47" s="24">
        <f t="shared" si="2"/>
        <v>2.2492109783867956E-2</v>
      </c>
      <c r="K47" s="24">
        <f t="shared" si="2"/>
        <v>-1.1841302187153372E-2</v>
      </c>
      <c r="L47" s="24">
        <f t="shared" si="2"/>
        <v>-5.7252147328811973E-4</v>
      </c>
      <c r="M47" s="24">
        <f t="shared" si="2"/>
        <v>-2.2117579567068179E-2</v>
      </c>
      <c r="N47" s="24">
        <f t="shared" si="2"/>
        <v>2.9062179898428901E-2</v>
      </c>
      <c r="O47" s="24">
        <f t="shared" si="2"/>
        <v>-4.8778961058612118E-2</v>
      </c>
      <c r="R47" s="21">
        <v>0.2</v>
      </c>
      <c r="S47" s="8">
        <v>3.0239741727308221E-2</v>
      </c>
      <c r="T47" s="8">
        <v>5.2200067307688058E-3</v>
      </c>
    </row>
    <row r="48" spans="1:20" customFormat="1">
      <c r="A48" s="22">
        <v>43252</v>
      </c>
      <c r="B48" s="23">
        <v>2718.3701169999999</v>
      </c>
      <c r="C48" s="23">
        <v>7636.93</v>
      </c>
      <c r="D48" s="23">
        <v>22304.509765999999</v>
      </c>
      <c r="E48" s="23">
        <v>12306</v>
      </c>
      <c r="F48" s="23">
        <v>5323.5297849999997</v>
      </c>
      <c r="G48" s="23">
        <v>16277.700194999999</v>
      </c>
      <c r="H48" s="23">
        <v>21157.47</v>
      </c>
      <c r="I48" s="24">
        <f t="shared" si="2"/>
        <v>4.8424360241866009E-3</v>
      </c>
      <c r="J48" s="24">
        <f t="shared" si="2"/>
        <v>-5.3749576723710673E-3</v>
      </c>
      <c r="K48" s="24">
        <f t="shared" si="2"/>
        <v>4.6252717818759444E-3</v>
      </c>
      <c r="L48" s="24">
        <f t="shared" si="2"/>
        <v>-2.3712198705954136E-2</v>
      </c>
      <c r="M48" s="24">
        <f t="shared" si="2"/>
        <v>-1.3868946050525546E-2</v>
      </c>
      <c r="N48" s="24">
        <f t="shared" si="2"/>
        <v>1.3460772343803471E-2</v>
      </c>
      <c r="O48" s="24">
        <f t="shared" si="2"/>
        <v>1.6551063296929563E-3</v>
      </c>
      <c r="R48" s="21">
        <v>0.3</v>
      </c>
      <c r="S48" s="8">
        <v>2.8807422425998746E-2</v>
      </c>
      <c r="T48" s="8">
        <v>5.0800100284333878E-3</v>
      </c>
    </row>
    <row r="49" spans="1:25" customFormat="1">
      <c r="A49" s="22">
        <v>43282</v>
      </c>
      <c r="B49" s="23">
        <v>2816.290039</v>
      </c>
      <c r="C49" s="23">
        <v>7748.76</v>
      </c>
      <c r="D49" s="23">
        <v>22553.720702999999</v>
      </c>
      <c r="E49" s="23">
        <v>12805.5</v>
      </c>
      <c r="F49" s="23">
        <v>5511.2998049999997</v>
      </c>
      <c r="G49" s="23">
        <v>16434</v>
      </c>
      <c r="H49" s="23">
        <v>21168.66</v>
      </c>
      <c r="I49" s="24">
        <f t="shared" si="2"/>
        <v>3.6021556221367206E-2</v>
      </c>
      <c r="J49" s="24">
        <f t="shared" si="2"/>
        <v>1.4643318715766665E-2</v>
      </c>
      <c r="K49" s="24">
        <f t="shared" si="2"/>
        <v>1.1173118782457433E-2</v>
      </c>
      <c r="L49" s="24">
        <f t="shared" si="2"/>
        <v>4.0589956118966361E-2</v>
      </c>
      <c r="M49" s="24">
        <f t="shared" si="2"/>
        <v>3.5271713991170982E-2</v>
      </c>
      <c r="N49" s="24">
        <f t="shared" si="2"/>
        <v>9.602081567272689E-3</v>
      </c>
      <c r="O49" s="24">
        <f t="shared" si="2"/>
        <v>5.2889121430864318E-4</v>
      </c>
      <c r="R49" s="21">
        <v>0.4</v>
      </c>
      <c r="S49" s="8">
        <v>2.7505813619380988E-2</v>
      </c>
      <c r="T49" s="8">
        <v>4.9400133260979707E-3</v>
      </c>
    </row>
    <row r="50" spans="1:25" customFormat="1">
      <c r="A50" s="22">
        <v>43313</v>
      </c>
      <c r="B50" s="23">
        <v>2901.5200199999999</v>
      </c>
      <c r="C50" s="23">
        <v>7432.42</v>
      </c>
      <c r="D50" s="23">
        <v>22865.150390999999</v>
      </c>
      <c r="E50" s="23">
        <v>12364.059569999999</v>
      </c>
      <c r="F50" s="23">
        <v>5406.8500979999999</v>
      </c>
      <c r="G50" s="23">
        <v>16262.900390999999</v>
      </c>
      <c r="H50" s="23">
        <v>20236.27</v>
      </c>
      <c r="I50" s="24">
        <f t="shared" si="2"/>
        <v>3.0263211466054526E-2</v>
      </c>
      <c r="J50" s="24">
        <f t="shared" si="2"/>
        <v>-4.08245964515613E-2</v>
      </c>
      <c r="K50" s="24">
        <f t="shared" si="2"/>
        <v>1.3808350830494018E-2</v>
      </c>
      <c r="L50" s="24">
        <f t="shared" si="2"/>
        <v>-3.4472721096403931E-2</v>
      </c>
      <c r="M50" s="24">
        <f t="shared" si="2"/>
        <v>-1.8951918911259403E-2</v>
      </c>
      <c r="N50" s="24">
        <f t="shared" si="2"/>
        <v>-1.041131854691498E-2</v>
      </c>
      <c r="O50" s="24">
        <f t="shared" si="2"/>
        <v>-4.4045773327173257E-2</v>
      </c>
      <c r="R50" s="21">
        <v>0.5</v>
      </c>
      <c r="S50" s="8">
        <v>2.6354289363154398E-2</v>
      </c>
      <c r="T50" s="8">
        <v>4.8000166237625536E-3</v>
      </c>
    </row>
    <row r="51" spans="1:25" customFormat="1">
      <c r="A51" s="22">
        <v>43344</v>
      </c>
      <c r="B51" s="23">
        <v>2913.9799800000001</v>
      </c>
      <c r="C51" s="23">
        <v>7510.2</v>
      </c>
      <c r="D51" s="23">
        <v>24120.039063</v>
      </c>
      <c r="E51" s="23">
        <v>12246.730469</v>
      </c>
      <c r="F51" s="23">
        <v>5493.4902339999999</v>
      </c>
      <c r="G51" s="23">
        <v>16073.099609000001</v>
      </c>
      <c r="H51" s="23">
        <v>20253.27</v>
      </c>
      <c r="I51" s="24">
        <f t="shared" si="2"/>
        <v>4.2942871026614999E-3</v>
      </c>
      <c r="J51" s="24">
        <f t="shared" si="2"/>
        <v>1.0464962959574371E-2</v>
      </c>
      <c r="K51" s="24">
        <f t="shared" si="2"/>
        <v>5.488215255710456E-2</v>
      </c>
      <c r="L51" s="24">
        <f t="shared" si="2"/>
        <v>-9.4895289314753245E-3</v>
      </c>
      <c r="M51" s="24">
        <f t="shared" si="2"/>
        <v>1.6024142417421238E-2</v>
      </c>
      <c r="N51" s="24">
        <f t="shared" si="2"/>
        <v>-1.1670783036034303E-2</v>
      </c>
      <c r="O51" s="24">
        <f t="shared" si="2"/>
        <v>8.4007576495075424E-4</v>
      </c>
      <c r="R51" s="21">
        <v>0.6</v>
      </c>
      <c r="S51" s="8">
        <v>2.5373291898139288E-2</v>
      </c>
      <c r="T51" s="8">
        <v>4.6600199214271365E-3</v>
      </c>
    </row>
    <row r="52" spans="1:25" customFormat="1">
      <c r="A52" s="22">
        <v>43374</v>
      </c>
      <c r="B52" s="23">
        <v>2711.73999</v>
      </c>
      <c r="C52" s="23">
        <v>7128.1</v>
      </c>
      <c r="D52" s="23">
        <v>21920.460938</v>
      </c>
      <c r="E52" s="23">
        <v>11447.509765999999</v>
      </c>
      <c r="F52" s="23">
        <v>5093.4399409999996</v>
      </c>
      <c r="G52" s="23">
        <v>15027.299805000001</v>
      </c>
      <c r="H52" s="23">
        <v>18411.43</v>
      </c>
      <c r="I52" s="24">
        <f t="shared" si="2"/>
        <v>-6.9403356024429527E-2</v>
      </c>
      <c r="J52" s="24">
        <f t="shared" si="2"/>
        <v>-5.0877473302974548E-2</v>
      </c>
      <c r="K52" s="24">
        <f t="shared" si="2"/>
        <v>-9.1192975237512783E-2</v>
      </c>
      <c r="L52" s="24">
        <f t="shared" si="2"/>
        <v>-6.525992427309954E-2</v>
      </c>
      <c r="M52" s="24">
        <f t="shared" si="2"/>
        <v>-7.2822609299281457E-2</v>
      </c>
      <c r="N52" s="24">
        <f t="shared" si="2"/>
        <v>-6.5065222604258177E-2</v>
      </c>
      <c r="O52" s="24">
        <f t="shared" si="2"/>
        <v>-9.0940376541664633E-2</v>
      </c>
      <c r="R52" s="21">
        <v>0.7</v>
      </c>
      <c r="S52" s="8">
        <v>2.4583244387144015E-2</v>
      </c>
      <c r="T52" s="8">
        <v>4.5200232190917193E-3</v>
      </c>
    </row>
    <row r="53" spans="1:25" customFormat="1">
      <c r="A53" s="22">
        <v>43405</v>
      </c>
      <c r="B53" s="23">
        <v>2760.169922</v>
      </c>
      <c r="C53" s="23">
        <v>6980.24</v>
      </c>
      <c r="D53" s="23">
        <v>22351.060547000001</v>
      </c>
      <c r="E53" s="23">
        <v>11257.240234000001</v>
      </c>
      <c r="F53" s="23">
        <v>5003.919922</v>
      </c>
      <c r="G53" s="23">
        <v>15197.799805000001</v>
      </c>
      <c r="H53" s="23">
        <v>18453.86</v>
      </c>
      <c r="I53" s="24">
        <f t="shared" si="2"/>
        <v>1.7859356788849069E-2</v>
      </c>
      <c r="J53" s="24">
        <f t="shared" si="2"/>
        <v>-2.0743255565999437E-2</v>
      </c>
      <c r="K53" s="24">
        <f t="shared" si="2"/>
        <v>1.9643729674203112E-2</v>
      </c>
      <c r="L53" s="24">
        <f t="shared" si="2"/>
        <v>-1.6621041247338687E-2</v>
      </c>
      <c r="M53" s="24">
        <f t="shared" si="2"/>
        <v>-1.7575552089934735E-2</v>
      </c>
      <c r="N53" s="24">
        <f t="shared" si="2"/>
        <v>1.1346017063110028E-2</v>
      </c>
      <c r="O53" s="24">
        <f t="shared" si="2"/>
        <v>2.3045466864877033E-3</v>
      </c>
      <c r="R53" s="21">
        <v>0.8</v>
      </c>
      <c r="S53" s="8">
        <v>2.4003009319384812E-2</v>
      </c>
      <c r="T53" s="8">
        <v>4.3800265167563013E-3</v>
      </c>
    </row>
    <row r="54" spans="1:25" customFormat="1">
      <c r="A54" s="22">
        <v>43435</v>
      </c>
      <c r="B54" s="23">
        <v>2506.8500979999999</v>
      </c>
      <c r="C54" s="23">
        <v>6728.13</v>
      </c>
      <c r="D54" s="23">
        <v>20014.769531000002</v>
      </c>
      <c r="E54" s="23">
        <v>10558.959961</v>
      </c>
      <c r="F54" s="23">
        <v>4730.6899409999996</v>
      </c>
      <c r="G54" s="23">
        <v>14322.900390999999</v>
      </c>
      <c r="H54" s="23">
        <v>17914.03</v>
      </c>
      <c r="I54" s="24">
        <f t="shared" si="2"/>
        <v>-9.1776894596563949E-2</v>
      </c>
      <c r="J54" s="24">
        <f t="shared" si="2"/>
        <v>-3.6117669306499442E-2</v>
      </c>
      <c r="K54" s="24">
        <f t="shared" si="2"/>
        <v>-0.10452707651555175</v>
      </c>
      <c r="L54" s="24">
        <f t="shared" si="2"/>
        <v>-6.2029436921049209E-2</v>
      </c>
      <c r="M54" s="24">
        <f t="shared" si="2"/>
        <v>-5.4603188152298414E-2</v>
      </c>
      <c r="N54" s="24">
        <f t="shared" si="2"/>
        <v>-5.7567504851074813E-2</v>
      </c>
      <c r="O54" s="24">
        <f t="shared" si="2"/>
        <v>-2.9252958459639433E-2</v>
      </c>
      <c r="R54" s="21">
        <v>0.9</v>
      </c>
      <c r="S54" s="8">
        <v>2.3648035798210804E-2</v>
      </c>
      <c r="T54" s="8">
        <v>4.2400298144208842E-3</v>
      </c>
    </row>
    <row r="55" spans="1:25" customFormat="1">
      <c r="A55" s="22">
        <v>43466</v>
      </c>
      <c r="B55" s="23">
        <v>2704.1000979999999</v>
      </c>
      <c r="C55" s="23">
        <v>6968.85</v>
      </c>
      <c r="D55" s="23">
        <v>20773.490234000001</v>
      </c>
      <c r="E55" s="23">
        <v>11173.099609000001</v>
      </c>
      <c r="F55" s="23">
        <v>4992.7202150000003</v>
      </c>
      <c r="G55" s="23">
        <v>15540.599609000001</v>
      </c>
      <c r="H55" s="23">
        <v>17959.39</v>
      </c>
      <c r="I55" s="24">
        <f t="shared" si="2"/>
        <v>7.8684401655036665E-2</v>
      </c>
      <c r="J55" s="24">
        <f t="shared" si="2"/>
        <v>3.5778143406860488E-2</v>
      </c>
      <c r="K55" s="24">
        <f t="shared" ref="K55:O64" si="3">(D55-D54)/D54</f>
        <v>3.7908040950701417E-2</v>
      </c>
      <c r="L55" s="24">
        <f t="shared" si="3"/>
        <v>5.8162892014777312E-2</v>
      </c>
      <c r="M55" s="24">
        <f t="shared" si="3"/>
        <v>5.5389441554609946E-2</v>
      </c>
      <c r="N55" s="24">
        <f t="shared" si="3"/>
        <v>8.5017642010912844E-2</v>
      </c>
      <c r="O55" s="24">
        <f t="shared" si="3"/>
        <v>2.5320935601872156E-3</v>
      </c>
      <c r="R55" s="21">
        <v>1</v>
      </c>
      <c r="S55" s="8">
        <v>2.3528521559566903E-2</v>
      </c>
      <c r="T55" s="8">
        <v>4.1000331120854671E-3</v>
      </c>
    </row>
    <row r="56" spans="1:25" customFormat="1">
      <c r="A56" s="22">
        <v>43497</v>
      </c>
      <c r="B56" s="23">
        <v>2784.48999</v>
      </c>
      <c r="C56" s="23">
        <v>7074.73</v>
      </c>
      <c r="D56" s="23">
        <v>21385.160156000002</v>
      </c>
      <c r="E56" s="23">
        <v>11515.639648</v>
      </c>
      <c r="F56" s="23">
        <v>5240.5297849999997</v>
      </c>
      <c r="G56" s="23">
        <v>15999</v>
      </c>
      <c r="H56" s="23">
        <v>19267.89</v>
      </c>
      <c r="I56" s="24">
        <f t="shared" ref="I56:J64" si="4">(B56-B55)/B55</f>
        <v>2.9728889126352211E-2</v>
      </c>
      <c r="J56" s="24">
        <f t="shared" si="4"/>
        <v>1.5193324580095596E-2</v>
      </c>
      <c r="K56" s="24">
        <f t="shared" si="3"/>
        <v>2.9444735338642322E-2</v>
      </c>
      <c r="L56" s="24">
        <f t="shared" si="3"/>
        <v>3.0657566027969662E-2</v>
      </c>
      <c r="M56" s="24">
        <f t="shared" si="3"/>
        <v>4.9634179230690065E-2</v>
      </c>
      <c r="N56" s="24">
        <f t="shared" si="3"/>
        <v>2.9496956522483637E-2</v>
      </c>
      <c r="O56" s="24">
        <f t="shared" si="3"/>
        <v>7.285882204239677E-2</v>
      </c>
    </row>
    <row r="57" spans="1:25" customFormat="1">
      <c r="A57" s="22">
        <v>43525</v>
      </c>
      <c r="B57" s="23">
        <v>2834.3999020000001</v>
      </c>
      <c r="C57" s="23">
        <v>7279.19</v>
      </c>
      <c r="D57" s="23">
        <v>21205.810547000001</v>
      </c>
      <c r="E57" s="23">
        <v>11526.040039</v>
      </c>
      <c r="F57" s="23">
        <v>5350.5297849999997</v>
      </c>
      <c r="G57" s="23">
        <v>16102.099609000001</v>
      </c>
      <c r="H57" s="23">
        <v>20385.86</v>
      </c>
      <c r="I57" s="24">
        <f t="shared" si="4"/>
        <v>1.7924256211817115E-2</v>
      </c>
      <c r="J57" s="24">
        <f t="shared" si="4"/>
        <v>2.8900042828489576E-2</v>
      </c>
      <c r="K57" s="24">
        <f t="shared" si="3"/>
        <v>-8.3866385704706049E-3</v>
      </c>
      <c r="L57" s="24">
        <f t="shared" si="3"/>
        <v>9.0315356488300015E-4</v>
      </c>
      <c r="M57" s="24">
        <f t="shared" si="3"/>
        <v>2.0990244214402459E-2</v>
      </c>
      <c r="N57" s="24">
        <f t="shared" si="3"/>
        <v>6.4441283205200813E-3</v>
      </c>
      <c r="O57" s="24">
        <f t="shared" si="3"/>
        <v>5.8022440443660471E-2</v>
      </c>
      <c r="R57" s="1"/>
      <c r="S57" s="1"/>
      <c r="T57" s="1"/>
      <c r="U57" s="1"/>
      <c r="V57" s="1"/>
      <c r="W57" s="1"/>
      <c r="X57" s="1"/>
      <c r="Y57" s="1"/>
    </row>
    <row r="58" spans="1:25" customFormat="1">
      <c r="A58" s="22">
        <v>43556</v>
      </c>
      <c r="B58" s="23">
        <v>2945.830078</v>
      </c>
      <c r="C58" s="23">
        <v>7418.22</v>
      </c>
      <c r="D58" s="23">
        <v>22258.730468999998</v>
      </c>
      <c r="E58" s="23">
        <v>12344.080078000001</v>
      </c>
      <c r="F58" s="23">
        <v>5586.4101559999999</v>
      </c>
      <c r="G58" s="23">
        <v>16580.699218999998</v>
      </c>
      <c r="H58" s="23">
        <v>21348.9</v>
      </c>
      <c r="I58" s="24">
        <f t="shared" si="4"/>
        <v>3.9313498395682572E-2</v>
      </c>
      <c r="J58" s="24">
        <f t="shared" si="4"/>
        <v>1.9099652571233978E-2</v>
      </c>
      <c r="K58" s="24">
        <f t="shared" si="3"/>
        <v>4.9652425200457831E-2</v>
      </c>
      <c r="L58" s="24">
        <f t="shared" si="3"/>
        <v>7.0973208164473334E-2</v>
      </c>
      <c r="M58" s="24">
        <f t="shared" si="3"/>
        <v>4.4085423402609882E-2</v>
      </c>
      <c r="N58" s="24">
        <f t="shared" si="3"/>
        <v>2.9722807684812245E-2</v>
      </c>
      <c r="O58" s="24">
        <f t="shared" si="3"/>
        <v>4.7240587348289495E-2</v>
      </c>
      <c r="R58" s="1"/>
      <c r="S58" s="1"/>
      <c r="T58" s="1"/>
      <c r="U58" s="1"/>
      <c r="V58" s="1"/>
      <c r="W58" s="1"/>
      <c r="X58" s="1"/>
      <c r="Y58" s="1"/>
    </row>
    <row r="59" spans="1:25" customFormat="1">
      <c r="A59" s="22">
        <v>43586</v>
      </c>
      <c r="B59" s="23">
        <v>2752.0600589999999</v>
      </c>
      <c r="C59" s="23">
        <v>7161.71</v>
      </c>
      <c r="D59" s="23">
        <v>20601.189452999999</v>
      </c>
      <c r="E59" s="23">
        <v>11726.839844</v>
      </c>
      <c r="F59" s="23">
        <v>5207.6298829999996</v>
      </c>
      <c r="G59" s="23">
        <v>16037.5</v>
      </c>
      <c r="H59" s="23">
        <v>19535.5</v>
      </c>
      <c r="I59" s="24">
        <f t="shared" si="4"/>
        <v>-6.5777731189286898E-2</v>
      </c>
      <c r="J59" s="24">
        <f t="shared" si="4"/>
        <v>-3.4578375944633644E-2</v>
      </c>
      <c r="K59" s="24">
        <f t="shared" si="3"/>
        <v>-7.4467006027521501E-2</v>
      </c>
      <c r="L59" s="24">
        <f t="shared" si="3"/>
        <v>-5.000293501822508E-2</v>
      </c>
      <c r="M59" s="24">
        <f t="shared" si="3"/>
        <v>-6.7803878058108044E-2</v>
      </c>
      <c r="N59" s="24">
        <f t="shared" si="3"/>
        <v>-3.2760935580903643E-2</v>
      </c>
      <c r="O59" s="24">
        <f t="shared" si="3"/>
        <v>-8.4941144508616437E-2</v>
      </c>
      <c r="R59" s="1"/>
      <c r="S59" s="1"/>
      <c r="T59" s="1"/>
      <c r="U59" s="1"/>
      <c r="V59" s="1"/>
      <c r="W59" s="1"/>
      <c r="X59" s="1"/>
      <c r="Y59" s="1"/>
    </row>
    <row r="60" spans="1:25" customFormat="1">
      <c r="A60" s="22">
        <v>43617</v>
      </c>
      <c r="B60" s="23">
        <v>2941.76001</v>
      </c>
      <c r="C60" s="23">
        <v>7425.63</v>
      </c>
      <c r="D60" s="23">
        <v>21275.919922000001</v>
      </c>
      <c r="E60" s="23">
        <v>12398.799805000001</v>
      </c>
      <c r="F60" s="23">
        <v>5538.9702150000003</v>
      </c>
      <c r="G60" s="23">
        <v>16382.200194999999</v>
      </c>
      <c r="H60" s="23">
        <v>19593.7</v>
      </c>
      <c r="I60" s="24">
        <f t="shared" si="4"/>
        <v>6.8930163925612228E-2</v>
      </c>
      <c r="J60" s="24">
        <f t="shared" si="4"/>
        <v>3.6851534060999405E-2</v>
      </c>
      <c r="K60" s="24">
        <f t="shared" si="3"/>
        <v>3.2752015146472323E-2</v>
      </c>
      <c r="L60" s="24">
        <f t="shared" si="3"/>
        <v>5.730102652879724E-2</v>
      </c>
      <c r="M60" s="24">
        <f t="shared" si="3"/>
        <v>6.3625937219855364E-2</v>
      </c>
      <c r="N60" s="24">
        <f t="shared" si="3"/>
        <v>2.1493387061574401E-2</v>
      </c>
      <c r="O60" s="24">
        <f t="shared" si="3"/>
        <v>2.9791917278800505E-3</v>
      </c>
      <c r="R60" s="1"/>
      <c r="S60" s="1"/>
      <c r="T60" s="1"/>
      <c r="U60" s="1"/>
      <c r="V60" s="1"/>
      <c r="W60" s="1"/>
      <c r="X60" s="1"/>
      <c r="Y60" s="1"/>
    </row>
    <row r="61" spans="1:25" customFormat="1">
      <c r="A61" s="22">
        <v>43647</v>
      </c>
      <c r="B61" s="23">
        <v>2980.3798830000001</v>
      </c>
      <c r="C61" s="23">
        <v>7586.78</v>
      </c>
      <c r="D61" s="23">
        <v>21521.529297000001</v>
      </c>
      <c r="E61" s="23">
        <v>12189.040039</v>
      </c>
      <c r="F61" s="23">
        <v>5518.8999020000001</v>
      </c>
      <c r="G61" s="23">
        <v>16406.599609000001</v>
      </c>
      <c r="H61" s="23">
        <v>21235.08</v>
      </c>
      <c r="I61" s="24">
        <f t="shared" si="4"/>
        <v>1.312815214997776E-2</v>
      </c>
      <c r="J61" s="24">
        <f t="shared" si="4"/>
        <v>2.170186233356626E-2</v>
      </c>
      <c r="K61" s="24">
        <f t="shared" si="3"/>
        <v>1.1544007304992337E-2</v>
      </c>
      <c r="L61" s="24">
        <f t="shared" si="3"/>
        <v>-1.6917747628719056E-2</v>
      </c>
      <c r="M61" s="24">
        <f t="shared" si="3"/>
        <v>-3.6234737182099415E-3</v>
      </c>
      <c r="N61" s="24">
        <f t="shared" si="3"/>
        <v>1.4893856569673878E-3</v>
      </c>
      <c r="O61" s="24">
        <f t="shared" si="3"/>
        <v>8.3770803880839295E-2</v>
      </c>
      <c r="R61" s="1"/>
      <c r="S61" s="1"/>
      <c r="T61" s="1"/>
      <c r="U61" s="1"/>
      <c r="V61" s="1"/>
      <c r="W61" s="1"/>
      <c r="X61" s="1"/>
      <c r="Y61" s="1"/>
    </row>
    <row r="62" spans="1:25" customFormat="1">
      <c r="A62" s="22">
        <v>43678</v>
      </c>
      <c r="B62" s="23">
        <v>2926.459961</v>
      </c>
      <c r="C62" s="23">
        <v>7207.18</v>
      </c>
      <c r="D62" s="23">
        <v>20704.369140999999</v>
      </c>
      <c r="E62" s="23">
        <v>11939.280273</v>
      </c>
      <c r="F62" s="23">
        <v>5480.4799800000001</v>
      </c>
      <c r="G62" s="23">
        <v>16442.099609000001</v>
      </c>
      <c r="H62" s="23">
        <v>19936.13</v>
      </c>
      <c r="I62" s="24">
        <f t="shared" si="4"/>
        <v>-1.8091627281326687E-2</v>
      </c>
      <c r="J62" s="24">
        <f t="shared" si="4"/>
        <v>-5.0034401946543787E-2</v>
      </c>
      <c r="K62" s="24">
        <f t="shared" si="3"/>
        <v>-3.7969427949244759E-2</v>
      </c>
      <c r="L62" s="24">
        <f t="shared" si="3"/>
        <v>-2.0490519778495187E-2</v>
      </c>
      <c r="M62" s="24">
        <f t="shared" si="3"/>
        <v>-6.9615181797511869E-3</v>
      </c>
      <c r="N62" s="24">
        <f t="shared" si="3"/>
        <v>2.1637634150909689E-3</v>
      </c>
      <c r="O62" s="24">
        <f t="shared" si="3"/>
        <v>-6.1170007365171246E-2</v>
      </c>
      <c r="R62" s="1"/>
      <c r="S62" s="1"/>
      <c r="T62" s="1"/>
      <c r="U62" s="1"/>
      <c r="V62" s="1"/>
      <c r="W62" s="1"/>
      <c r="X62" s="1"/>
      <c r="Y62" s="1"/>
    </row>
    <row r="63" spans="1:25" customFormat="1">
      <c r="A63" s="22">
        <v>43709</v>
      </c>
      <c r="B63" s="23">
        <v>2976.73999</v>
      </c>
      <c r="C63" s="23">
        <v>7408.21</v>
      </c>
      <c r="D63" s="23">
        <v>21755.839843999998</v>
      </c>
      <c r="E63" s="23">
        <v>12428.080078000001</v>
      </c>
      <c r="F63" s="23">
        <v>5677.7900390000004</v>
      </c>
      <c r="G63" s="23">
        <v>16658.599609000001</v>
      </c>
      <c r="H63" s="23">
        <v>21311.18</v>
      </c>
      <c r="I63" s="24">
        <f t="shared" si="4"/>
        <v>1.7181177829208652E-2</v>
      </c>
      <c r="J63" s="24">
        <f t="shared" si="4"/>
        <v>2.7893017796142144E-2</v>
      </c>
      <c r="K63" s="24">
        <f t="shared" si="3"/>
        <v>5.0784966971913932E-2</v>
      </c>
      <c r="L63" s="24">
        <f t="shared" si="3"/>
        <v>4.0940474955210943E-2</v>
      </c>
      <c r="M63" s="24">
        <f t="shared" si="3"/>
        <v>3.6002331861451367E-2</v>
      </c>
      <c r="N63" s="24">
        <f t="shared" si="3"/>
        <v>1.3167418100392314E-2</v>
      </c>
      <c r="O63" s="24">
        <f t="shared" si="3"/>
        <v>6.8972764523505772E-2</v>
      </c>
      <c r="R63" s="1"/>
      <c r="S63" s="1"/>
      <c r="T63" s="1"/>
      <c r="U63" s="1"/>
      <c r="V63" s="1"/>
      <c r="W63" s="1"/>
      <c r="X63" s="1"/>
      <c r="Y63" s="1"/>
    </row>
    <row r="64" spans="1:25" customFormat="1">
      <c r="A64" s="22">
        <v>43739</v>
      </c>
      <c r="B64" s="23">
        <v>2887.610107</v>
      </c>
      <c r="C64" s="23">
        <v>7077.64</v>
      </c>
      <c r="D64" s="23">
        <v>21778.609375</v>
      </c>
      <c r="E64" s="23">
        <v>11925.25</v>
      </c>
      <c r="F64" s="23">
        <v>5422.7700199999999</v>
      </c>
      <c r="G64" s="23">
        <v>16311</v>
      </c>
      <c r="H64" s="23">
        <v>21125.5</v>
      </c>
      <c r="I64" s="24">
        <f t="shared" si="4"/>
        <v>-2.9942112276994694E-2</v>
      </c>
      <c r="J64" s="24">
        <f t="shared" si="4"/>
        <v>-4.4622115193818708E-2</v>
      </c>
      <c r="K64" s="24">
        <f t="shared" si="3"/>
        <v>1.0465939795140245E-3</v>
      </c>
      <c r="L64" s="24">
        <f t="shared" si="3"/>
        <v>-4.0459191994594808E-2</v>
      </c>
      <c r="M64" s="24">
        <f t="shared" si="3"/>
        <v>-4.491536623374609E-2</v>
      </c>
      <c r="N64" s="24">
        <f t="shared" si="3"/>
        <v>-2.0866076210404028E-2</v>
      </c>
      <c r="O64" s="24">
        <f t="shared" si="3"/>
        <v>-8.7127976958573054E-3</v>
      </c>
      <c r="R64" s="1"/>
      <c r="S64" s="1"/>
      <c r="T64" s="1"/>
      <c r="U64" s="1"/>
      <c r="V64" s="1"/>
      <c r="W64" s="1"/>
      <c r="X64" s="1"/>
      <c r="Y64" s="1"/>
    </row>
  </sheetData>
  <mergeCells count="2">
    <mergeCell ref="B1:H1"/>
    <mergeCell ref="I1:O1"/>
  </mergeCells>
  <phoneticPr fontId="6" type="noConversion"/>
  <pageMargins left="0.75" right="0.75" top="1" bottom="1" header="0.5" footer="0.5"/>
  <pageSetup paperSize="9" orientation="portrait" horizontalDpi="4294967292" verticalDpi="4294967292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Y71"/>
  <sheetViews>
    <sheetView topLeftCell="J1" workbookViewId="0">
      <selection activeCell="Q1" sqref="Q1"/>
    </sheetView>
  </sheetViews>
  <sheetFormatPr defaultColWidth="10.83203125" defaultRowHeight="15.5"/>
  <cols>
    <col min="1" max="8" width="10.83203125" style="6"/>
    <col min="9" max="17" width="10.83203125" style="1"/>
    <col min="18" max="18" width="16.33203125" style="1" bestFit="1" customWidth="1"/>
    <col min="19" max="19" width="11" style="1" customWidth="1"/>
    <col min="20" max="23" width="10.83203125" style="1"/>
    <col min="24" max="24" width="11.83203125" style="1" bestFit="1" customWidth="1"/>
    <col min="25" max="16384" width="10.83203125" style="1"/>
  </cols>
  <sheetData>
    <row r="1" spans="1:25" customFormat="1">
      <c r="A1" s="7"/>
      <c r="B1" s="26" t="s">
        <v>8</v>
      </c>
      <c r="C1" s="26"/>
      <c r="D1" s="26"/>
      <c r="E1" s="26"/>
      <c r="F1" s="26"/>
      <c r="G1" s="26"/>
      <c r="H1" s="26"/>
      <c r="I1" s="26" t="s">
        <v>18</v>
      </c>
      <c r="J1" s="26"/>
      <c r="K1" s="26"/>
      <c r="L1" s="26"/>
      <c r="M1" s="26"/>
      <c r="N1" s="26"/>
      <c r="O1" s="26"/>
    </row>
    <row r="2" spans="1:25" customFormat="1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1</v>
      </c>
      <c r="J2" s="7" t="s">
        <v>2</v>
      </c>
      <c r="K2" s="7" t="s">
        <v>3</v>
      </c>
      <c r="L2" s="7" t="s">
        <v>4</v>
      </c>
      <c r="M2" s="7" t="s">
        <v>5</v>
      </c>
      <c r="N2" s="7" t="s">
        <v>6</v>
      </c>
      <c r="O2" s="7" t="s">
        <v>7</v>
      </c>
      <c r="S2" s="7" t="s">
        <v>1</v>
      </c>
      <c r="T2" s="7" t="s">
        <v>2</v>
      </c>
      <c r="U2" s="7" t="s">
        <v>3</v>
      </c>
      <c r="V2" s="7" t="s">
        <v>4</v>
      </c>
      <c r="W2" s="7" t="s">
        <v>5</v>
      </c>
      <c r="X2" s="7" t="s">
        <v>6</v>
      </c>
      <c r="Y2" s="7" t="s">
        <v>7</v>
      </c>
    </row>
    <row r="3" spans="1:25" customFormat="1">
      <c r="A3" s="3"/>
      <c r="B3" s="3" t="s">
        <v>9</v>
      </c>
      <c r="C3" s="3" t="s">
        <v>10</v>
      </c>
      <c r="D3" s="3" t="s">
        <v>11</v>
      </c>
      <c r="E3" s="3" t="s">
        <v>12</v>
      </c>
      <c r="F3" s="3" t="s">
        <v>13</v>
      </c>
      <c r="G3" s="3" t="s">
        <v>14</v>
      </c>
      <c r="H3" s="3" t="s">
        <v>15</v>
      </c>
      <c r="I3" s="3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3" t="s">
        <v>14</v>
      </c>
      <c r="O3" s="3" t="s">
        <v>15</v>
      </c>
      <c r="R3" s="7" t="s">
        <v>19</v>
      </c>
      <c r="S3" s="8">
        <f>AVERAGE(I5:I64)</f>
        <v>6.58537538378225E-3</v>
      </c>
      <c r="T3" s="8">
        <f t="shared" ref="T3:Y3" si="0">AVERAGE(J5:J64)</f>
        <v>1.7760598722039939E-3</v>
      </c>
      <c r="U3" s="8">
        <f t="shared" si="0"/>
        <v>5.8207798388026288E-3</v>
      </c>
      <c r="V3" s="8">
        <f t="shared" si="0"/>
        <v>5.1689899335619315E-3</v>
      </c>
      <c r="W3" s="8">
        <f t="shared" si="0"/>
        <v>4.9899992779588332E-3</v>
      </c>
      <c r="X3" s="8">
        <f t="shared" si="0"/>
        <v>2.14901129293217E-3</v>
      </c>
      <c r="Y3" s="8">
        <f t="shared" si="0"/>
        <v>4.5094940387581722E-3</v>
      </c>
    </row>
    <row r="4" spans="1:25" customFormat="1">
      <c r="A4" s="4">
        <v>41913</v>
      </c>
      <c r="B4" s="5">
        <v>2018.0500489999999</v>
      </c>
      <c r="C4" s="5">
        <v>6546.47</v>
      </c>
      <c r="D4" s="5">
        <v>16413.759765999999</v>
      </c>
      <c r="E4" s="5">
        <v>9326.8701170000004</v>
      </c>
      <c r="F4" s="5">
        <v>4233.0898440000001</v>
      </c>
      <c r="G4" s="5">
        <v>14613.299805000001</v>
      </c>
      <c r="H4" s="5">
        <v>17555.77</v>
      </c>
      <c r="I4" s="11"/>
      <c r="J4" s="11"/>
      <c r="K4" s="11"/>
      <c r="L4" s="11"/>
      <c r="M4" s="11"/>
      <c r="N4" s="11"/>
      <c r="O4" s="11"/>
      <c r="R4" s="7" t="s">
        <v>20</v>
      </c>
      <c r="S4" s="8">
        <v>4.7999999999999996E-3</v>
      </c>
      <c r="T4" s="8">
        <v>3.8999999999999998E-3</v>
      </c>
      <c r="U4" s="8">
        <v>5.4999999999999997E-3</v>
      </c>
      <c r="V4" s="8">
        <v>5.1000000000000004E-3</v>
      </c>
      <c r="W4" s="8">
        <v>4.3E-3</v>
      </c>
      <c r="X4" s="8">
        <v>4.4999999999999997E-3</v>
      </c>
      <c r="Y4" s="8">
        <v>4.1999999999999997E-3</v>
      </c>
    </row>
    <row r="5" spans="1:25" customFormat="1">
      <c r="A5" s="4">
        <v>41944</v>
      </c>
      <c r="B5" s="5">
        <v>2067.5600589999999</v>
      </c>
      <c r="C5" s="5">
        <v>6722.62</v>
      </c>
      <c r="D5" s="5">
        <v>17459.849609000001</v>
      </c>
      <c r="E5" s="5">
        <v>9980.8496090000008</v>
      </c>
      <c r="F5" s="5">
        <v>4390.1801759999998</v>
      </c>
      <c r="G5" s="5">
        <v>14744.700194999999</v>
      </c>
      <c r="H5" s="5">
        <v>18444.580000000002</v>
      </c>
      <c r="I5" s="11">
        <f>(B5-B4)/B4</f>
        <v>2.4533588760364766E-2</v>
      </c>
      <c r="J5" s="11">
        <f t="shared" ref="J5:O20" si="1">(C5-C4)/C4</f>
        <v>2.6907631135558496E-2</v>
      </c>
      <c r="K5" s="11">
        <f t="shared" si="1"/>
        <v>6.3732493829165598E-2</v>
      </c>
      <c r="L5" s="11">
        <f t="shared" si="1"/>
        <v>7.011778697421743E-2</v>
      </c>
      <c r="M5" s="11">
        <f t="shared" si="1"/>
        <v>3.711008690794982E-2</v>
      </c>
      <c r="N5" s="11">
        <f t="shared" si="1"/>
        <v>8.9918356396848642E-3</v>
      </c>
      <c r="O5" s="11">
        <f t="shared" si="1"/>
        <v>5.062779929333782E-2</v>
      </c>
    </row>
    <row r="6" spans="1:25" customFormat="1">
      <c r="A6" s="4">
        <v>41974</v>
      </c>
      <c r="B6" s="5">
        <v>2058.8999020000001</v>
      </c>
      <c r="C6" s="5">
        <v>6566.09</v>
      </c>
      <c r="D6" s="5">
        <v>17450.769531000002</v>
      </c>
      <c r="E6" s="5">
        <v>9805.5498050000006</v>
      </c>
      <c r="F6" s="5">
        <v>4272.75</v>
      </c>
      <c r="G6" s="5">
        <v>14632.400390999999</v>
      </c>
      <c r="H6" s="5">
        <v>17729.07</v>
      </c>
      <c r="I6" s="11">
        <f t="shared" ref="I6:O55" si="2">(B6-B5)/B5</f>
        <v>-4.1885878779204062E-3</v>
      </c>
      <c r="J6" s="11">
        <f t="shared" si="1"/>
        <v>-2.3284076743888507E-2</v>
      </c>
      <c r="K6" s="11">
        <f t="shared" si="1"/>
        <v>-5.2005476583936636E-4</v>
      </c>
      <c r="L6" s="11">
        <f t="shared" si="1"/>
        <v>-1.7563615410248007E-2</v>
      </c>
      <c r="M6" s="11">
        <f t="shared" si="1"/>
        <v>-2.6748372798447044E-2</v>
      </c>
      <c r="N6" s="11">
        <f t="shared" si="1"/>
        <v>-7.6162826313743324E-3</v>
      </c>
      <c r="O6" s="11">
        <f t="shared" si="1"/>
        <v>-3.8792425742413324E-2</v>
      </c>
      <c r="R6" s="7" t="s">
        <v>21</v>
      </c>
    </row>
    <row r="7" spans="1:25" customFormat="1">
      <c r="A7" s="4">
        <v>42005</v>
      </c>
      <c r="B7" s="5">
        <v>1994.98999</v>
      </c>
      <c r="C7" s="5">
        <v>6749.4</v>
      </c>
      <c r="D7" s="5">
        <v>17674.390625</v>
      </c>
      <c r="E7" s="5">
        <v>10694.320313</v>
      </c>
      <c r="F7" s="5">
        <v>4604.25</v>
      </c>
      <c r="G7" s="5">
        <v>14673.5</v>
      </c>
      <c r="H7" s="5">
        <v>17991.759999999998</v>
      </c>
      <c r="I7" s="11">
        <f t="shared" si="2"/>
        <v>-3.1040805790470173E-2</v>
      </c>
      <c r="J7" s="11">
        <f t="shared" si="1"/>
        <v>2.7917680080534912E-2</v>
      </c>
      <c r="K7" s="11">
        <f t="shared" si="1"/>
        <v>1.2814397302236553E-2</v>
      </c>
      <c r="L7" s="11">
        <f t="shared" si="1"/>
        <v>9.0639538391493552E-2</v>
      </c>
      <c r="M7" s="11">
        <f t="shared" si="1"/>
        <v>7.7584693698437776E-2</v>
      </c>
      <c r="N7" s="11">
        <f t="shared" si="1"/>
        <v>2.8088083910880446E-3</v>
      </c>
      <c r="O7" s="11">
        <f t="shared" si="1"/>
        <v>1.4816908049886356E-2</v>
      </c>
      <c r="S7" s="7" t="s">
        <v>1</v>
      </c>
      <c r="T7" s="7" t="s">
        <v>2</v>
      </c>
      <c r="U7" s="7" t="s">
        <v>3</v>
      </c>
      <c r="V7" s="7" t="s">
        <v>4</v>
      </c>
      <c r="W7" s="7" t="s">
        <v>5</v>
      </c>
      <c r="X7" s="7" t="s">
        <v>6</v>
      </c>
      <c r="Y7" s="7" t="s">
        <v>7</v>
      </c>
    </row>
    <row r="8" spans="1:25" customFormat="1">
      <c r="A8" s="4">
        <v>42036</v>
      </c>
      <c r="B8" s="5">
        <v>2104.5</v>
      </c>
      <c r="C8" s="5">
        <v>6946.66</v>
      </c>
      <c r="D8" s="5">
        <v>18797.939452999999</v>
      </c>
      <c r="E8" s="5">
        <v>11401.660156</v>
      </c>
      <c r="F8" s="5">
        <v>4951.4799800000001</v>
      </c>
      <c r="G8" s="5">
        <v>15234.299805000001</v>
      </c>
      <c r="H8" s="5">
        <v>20246.54</v>
      </c>
      <c r="I8" s="11">
        <f t="shared" si="2"/>
        <v>5.4892511014553995E-2</v>
      </c>
      <c r="J8" s="11">
        <f t="shared" si="1"/>
        <v>2.9226301597179042E-2</v>
      </c>
      <c r="K8" s="11">
        <f t="shared" si="1"/>
        <v>6.3569310639245813E-2</v>
      </c>
      <c r="L8" s="11">
        <f t="shared" si="1"/>
        <v>6.6141636148690855E-2</v>
      </c>
      <c r="M8" s="11">
        <f t="shared" si="1"/>
        <v>7.5415101265135481E-2</v>
      </c>
      <c r="N8" s="11">
        <f t="shared" si="1"/>
        <v>3.8218543973830413E-2</v>
      </c>
      <c r="O8" s="11">
        <f t="shared" si="1"/>
        <v>0.12532292560594421</v>
      </c>
      <c r="R8" s="7" t="s">
        <v>1</v>
      </c>
      <c r="S8" s="9">
        <f t="array" ref="S8:Y14">MMULT(TRANSPOSE(I5:O64-S3:Y3),I5:O64-S3:Y3)/(COUNT(O5:O64)-1)</f>
        <v>1.2072598400594181E-3</v>
      </c>
      <c r="T8" s="9">
        <v>6.6051744783751252E-4</v>
      </c>
      <c r="U8" s="9">
        <v>1.1699524365836966E-3</v>
      </c>
      <c r="V8" s="9">
        <v>1.1075248777080251E-3</v>
      </c>
      <c r="W8" s="9">
        <v>9.991932577757311E-4</v>
      </c>
      <c r="X8" s="9">
        <v>6.8111368335587873E-4</v>
      </c>
      <c r="Y8" s="9">
        <v>8.3507068612120774E-4</v>
      </c>
    </row>
    <row r="9" spans="1:25" customFormat="1">
      <c r="A9" s="4">
        <v>42064</v>
      </c>
      <c r="B9" s="5">
        <v>2067.889893</v>
      </c>
      <c r="C9" s="5">
        <v>6773.04</v>
      </c>
      <c r="D9" s="5">
        <v>19206.990234000001</v>
      </c>
      <c r="E9" s="5">
        <v>11966.169921999999</v>
      </c>
      <c r="F9" s="5">
        <v>5033.6401370000003</v>
      </c>
      <c r="G9" s="5">
        <v>14902.400390999999</v>
      </c>
      <c r="H9" s="5">
        <v>21860.52</v>
      </c>
      <c r="I9" s="11">
        <f t="shared" si="2"/>
        <v>-1.7396106913756221E-2</v>
      </c>
      <c r="J9" s="11">
        <f t="shared" si="1"/>
        <v>-2.4993306135610481E-2</v>
      </c>
      <c r="K9" s="11">
        <f t="shared" si="1"/>
        <v>2.1760405283927038E-2</v>
      </c>
      <c r="L9" s="11">
        <f t="shared" si="1"/>
        <v>4.9511190324589012E-2</v>
      </c>
      <c r="M9" s="11">
        <f t="shared" si="1"/>
        <v>1.6593050427722876E-2</v>
      </c>
      <c r="N9" s="11">
        <f t="shared" si="1"/>
        <v>-2.1786325479236642E-2</v>
      </c>
      <c r="O9" s="11">
        <f t="shared" si="1"/>
        <v>7.9716336717285993E-2</v>
      </c>
      <c r="R9" s="7" t="s">
        <v>2</v>
      </c>
      <c r="S9" s="9">
        <v>6.6051744783751252E-4</v>
      </c>
      <c r="T9" s="9">
        <v>9.6186062251918034E-4</v>
      </c>
      <c r="U9" s="9">
        <v>7.3206994725585602E-4</v>
      </c>
      <c r="V9" s="9">
        <v>9.4276390047488422E-4</v>
      </c>
      <c r="W9" s="9">
        <v>8.9101470401623591E-4</v>
      </c>
      <c r="X9" s="9">
        <v>4.9757323740314062E-4</v>
      </c>
      <c r="Y9" s="9">
        <v>6.0968770941651927E-4</v>
      </c>
    </row>
    <row r="10" spans="1:25" customFormat="1">
      <c r="A10" s="4">
        <v>42095</v>
      </c>
      <c r="B10" s="5">
        <v>2085.51001</v>
      </c>
      <c r="C10" s="5">
        <v>6960.63</v>
      </c>
      <c r="D10" s="5">
        <v>19520.009765999999</v>
      </c>
      <c r="E10" s="5">
        <v>11454.379883</v>
      </c>
      <c r="F10" s="5">
        <v>5046.4902339999999</v>
      </c>
      <c r="G10" s="5">
        <v>15224.5</v>
      </c>
      <c r="H10" s="5">
        <v>22725.83</v>
      </c>
      <c r="I10" s="11">
        <f t="shared" si="2"/>
        <v>8.5208197301247391E-3</v>
      </c>
      <c r="J10" s="11">
        <f t="shared" si="1"/>
        <v>2.7696573473654392E-2</v>
      </c>
      <c r="K10" s="11">
        <f t="shared" si="1"/>
        <v>1.6297167238930269E-2</v>
      </c>
      <c r="L10" s="11">
        <f t="shared" si="1"/>
        <v>-4.2769745234777688E-2</v>
      </c>
      <c r="M10" s="11">
        <f t="shared" si="1"/>
        <v>2.5528437969858692E-3</v>
      </c>
      <c r="N10" s="11">
        <f t="shared" si="1"/>
        <v>2.1613941415406224E-2</v>
      </c>
      <c r="O10" s="11">
        <f t="shared" si="1"/>
        <v>3.9583230408059888E-2</v>
      </c>
      <c r="R10" s="7" t="s">
        <v>3</v>
      </c>
      <c r="S10" s="9">
        <v>1.1699524365836966E-3</v>
      </c>
      <c r="T10" s="9">
        <v>7.3206994725585602E-4</v>
      </c>
      <c r="U10" s="9">
        <v>2.1902907118376922E-3</v>
      </c>
      <c r="V10" s="9">
        <v>1.7105007201555671E-3</v>
      </c>
      <c r="W10" s="9">
        <v>1.4696453529161777E-3</v>
      </c>
      <c r="X10" s="9">
        <v>7.3490669328114312E-4</v>
      </c>
      <c r="Y10" s="9">
        <v>1.5927450747812177E-3</v>
      </c>
    </row>
    <row r="11" spans="1:25" customFormat="1">
      <c r="A11" s="4">
        <v>42125</v>
      </c>
      <c r="B11" s="5">
        <v>2107.389893</v>
      </c>
      <c r="C11" s="5">
        <v>6984.43</v>
      </c>
      <c r="D11" s="5">
        <v>20563.150390999999</v>
      </c>
      <c r="E11" s="5">
        <v>11413.820313</v>
      </c>
      <c r="F11" s="5">
        <v>5007.8901370000003</v>
      </c>
      <c r="G11" s="5">
        <v>15014.099609000001</v>
      </c>
      <c r="H11" s="5">
        <v>22296.58</v>
      </c>
      <c r="I11" s="11">
        <f t="shared" si="2"/>
        <v>1.0491382393316857E-2</v>
      </c>
      <c r="J11" s="11">
        <f t="shared" si="1"/>
        <v>3.4192307305517147E-3</v>
      </c>
      <c r="K11" s="11">
        <f t="shared" si="1"/>
        <v>5.3439554462567172E-2</v>
      </c>
      <c r="L11" s="11">
        <f t="shared" si="1"/>
        <v>-3.5409660247252548E-3</v>
      </c>
      <c r="M11" s="11">
        <f t="shared" si="1"/>
        <v>-7.6488995737942714E-3</v>
      </c>
      <c r="N11" s="11">
        <f t="shared" si="1"/>
        <v>-1.3819855561758956E-2</v>
      </c>
      <c r="O11" s="11">
        <f t="shared" si="1"/>
        <v>-1.8888199022873971E-2</v>
      </c>
      <c r="R11" s="7" t="s">
        <v>4</v>
      </c>
      <c r="S11" s="9">
        <v>1.1075248777080251E-3</v>
      </c>
      <c r="T11" s="9">
        <v>9.4276390047488422E-4</v>
      </c>
      <c r="U11" s="9">
        <v>1.7105007201555671E-3</v>
      </c>
      <c r="V11" s="9">
        <v>2.1797057801330229E-3</v>
      </c>
      <c r="W11" s="9">
        <v>1.7853649792857623E-3</v>
      </c>
      <c r="X11" s="9">
        <v>7.6520092022405208E-4</v>
      </c>
      <c r="Y11" s="9">
        <v>1.4501237720867743E-3</v>
      </c>
    </row>
    <row r="12" spans="1:25" customFormat="1">
      <c r="A12" s="4">
        <v>42156</v>
      </c>
      <c r="B12" s="5">
        <v>2063.110107</v>
      </c>
      <c r="C12" s="5">
        <v>6520.98</v>
      </c>
      <c r="D12" s="5">
        <v>20235.730468999998</v>
      </c>
      <c r="E12" s="5">
        <v>10944.969727</v>
      </c>
      <c r="F12" s="5">
        <v>4790.2001950000003</v>
      </c>
      <c r="G12" s="5">
        <v>14553.299805000001</v>
      </c>
      <c r="H12" s="5">
        <v>21855.05</v>
      </c>
      <c r="I12" s="11">
        <f t="shared" si="2"/>
        <v>-2.1011672375900521E-2</v>
      </c>
      <c r="J12" s="11">
        <f t="shared" si="1"/>
        <v>-6.6354734745713059E-2</v>
      </c>
      <c r="K12" s="11">
        <f t="shared" si="1"/>
        <v>-1.592265366805394E-2</v>
      </c>
      <c r="L12" s="11">
        <f t="shared" si="1"/>
        <v>-4.107744586323947E-2</v>
      </c>
      <c r="M12" s="11">
        <f t="shared" si="1"/>
        <v>-4.3469392507561704E-2</v>
      </c>
      <c r="N12" s="11">
        <f t="shared" si="1"/>
        <v>-3.0691138063569257E-2</v>
      </c>
      <c r="O12" s="11">
        <f t="shared" si="1"/>
        <v>-1.9802588558424764E-2</v>
      </c>
      <c r="R12" s="7" t="s">
        <v>5</v>
      </c>
      <c r="S12" s="9">
        <v>9.991932577757311E-4</v>
      </c>
      <c r="T12" s="9">
        <v>8.9101470401623591E-4</v>
      </c>
      <c r="U12" s="9">
        <v>1.4696453529161777E-3</v>
      </c>
      <c r="V12" s="9">
        <v>1.7853649792857623E-3</v>
      </c>
      <c r="W12" s="9">
        <v>1.7413031530581235E-3</v>
      </c>
      <c r="X12" s="9">
        <v>7.0333081758622372E-4</v>
      </c>
      <c r="Y12" s="9">
        <v>1.1933815651238076E-3</v>
      </c>
    </row>
    <row r="13" spans="1:25" customFormat="1">
      <c r="A13" s="4">
        <v>42186</v>
      </c>
      <c r="B13" s="5">
        <v>2103.8400879999999</v>
      </c>
      <c r="C13" s="5">
        <v>6696.28</v>
      </c>
      <c r="D13" s="5">
        <v>20585.240234000001</v>
      </c>
      <c r="E13" s="5">
        <v>11308.990234000001</v>
      </c>
      <c r="F13" s="5">
        <v>5082.6098629999997</v>
      </c>
      <c r="G13" s="5">
        <v>14468.400390999999</v>
      </c>
      <c r="H13" s="5">
        <v>20937.34</v>
      </c>
      <c r="I13" s="11">
        <f t="shared" si="2"/>
        <v>1.9742029696721345E-2</v>
      </c>
      <c r="J13" s="11">
        <f t="shared" si="1"/>
        <v>2.6882462451962772E-2</v>
      </c>
      <c r="K13" s="11">
        <f t="shared" si="1"/>
        <v>1.727191244889488E-2</v>
      </c>
      <c r="L13" s="11">
        <f t="shared" si="1"/>
        <v>3.3259160699367102E-2</v>
      </c>
      <c r="M13" s="11">
        <f t="shared" si="1"/>
        <v>6.1043308441516883E-2</v>
      </c>
      <c r="N13" s="11">
        <f t="shared" si="1"/>
        <v>-5.8336882451107686E-3</v>
      </c>
      <c r="O13" s="11">
        <f t="shared" si="1"/>
        <v>-4.1990752709328012E-2</v>
      </c>
      <c r="R13" s="7" t="s">
        <v>6</v>
      </c>
      <c r="S13" s="9">
        <v>6.8111368335587873E-4</v>
      </c>
      <c r="T13" s="9">
        <v>4.9757323740314062E-4</v>
      </c>
      <c r="U13" s="9">
        <v>7.3490669328114312E-4</v>
      </c>
      <c r="V13" s="9">
        <v>7.6520092022405208E-4</v>
      </c>
      <c r="W13" s="9">
        <v>7.0333081758622372E-4</v>
      </c>
      <c r="X13" s="9">
        <v>6.4259332877071476E-4</v>
      </c>
      <c r="Y13" s="9">
        <v>5.3347428357240507E-4</v>
      </c>
    </row>
    <row r="14" spans="1:25" customFormat="1">
      <c r="A14" s="4">
        <v>42217</v>
      </c>
      <c r="B14" s="5">
        <v>1972.1800539999999</v>
      </c>
      <c r="C14" s="5">
        <v>6247.94</v>
      </c>
      <c r="D14" s="5">
        <v>18890.480468999998</v>
      </c>
      <c r="E14" s="5">
        <v>10315.620117</v>
      </c>
      <c r="F14" s="5">
        <v>4652.9501950000003</v>
      </c>
      <c r="G14" s="5">
        <v>13859.099609000001</v>
      </c>
      <c r="H14" s="5">
        <v>20158.22</v>
      </c>
      <c r="I14" s="11">
        <f t="shared" si="2"/>
        <v>-6.2580818167202831E-2</v>
      </c>
      <c r="J14" s="11">
        <f t="shared" si="1"/>
        <v>-6.6953592143697713E-2</v>
      </c>
      <c r="K14" s="11">
        <f t="shared" si="1"/>
        <v>-8.2328879611558797E-2</v>
      </c>
      <c r="L14" s="11">
        <f t="shared" si="1"/>
        <v>-8.7838975580107517E-2</v>
      </c>
      <c r="M14" s="11">
        <f t="shared" si="1"/>
        <v>-8.4535244604903359E-2</v>
      </c>
      <c r="N14" s="11">
        <f t="shared" si="1"/>
        <v>-4.2112518698266821E-2</v>
      </c>
      <c r="O14" s="11">
        <f t="shared" si="1"/>
        <v>-3.7211985858757561E-2</v>
      </c>
      <c r="R14" s="7" t="s">
        <v>7</v>
      </c>
      <c r="S14" s="9">
        <v>8.3507068612120774E-4</v>
      </c>
      <c r="T14" s="9">
        <v>6.0968770941651927E-4</v>
      </c>
      <c r="U14" s="9">
        <v>1.5927450747812177E-3</v>
      </c>
      <c r="V14" s="9">
        <v>1.4501237720867743E-3</v>
      </c>
      <c r="W14" s="9">
        <v>1.1933815651238076E-3</v>
      </c>
      <c r="X14" s="9">
        <v>5.3347428357240507E-4</v>
      </c>
      <c r="Y14" s="9">
        <v>2.8548714055029868E-3</v>
      </c>
    </row>
    <row r="15" spans="1:25" customFormat="1">
      <c r="A15" s="4">
        <v>42248</v>
      </c>
      <c r="B15" s="5">
        <v>1920.030029</v>
      </c>
      <c r="C15" s="5">
        <v>6061.61</v>
      </c>
      <c r="D15" s="5">
        <v>17388.150390999999</v>
      </c>
      <c r="E15" s="5">
        <v>9660.4404300000006</v>
      </c>
      <c r="F15" s="5">
        <v>4455.2900390000004</v>
      </c>
      <c r="G15" s="5">
        <v>13307</v>
      </c>
      <c r="H15" s="5">
        <v>20476.48</v>
      </c>
      <c r="I15" s="11">
        <f t="shared" si="2"/>
        <v>-2.6442831573227094E-2</v>
      </c>
      <c r="J15" s="11">
        <f t="shared" si="1"/>
        <v>-2.9822629538695945E-2</v>
      </c>
      <c r="K15" s="11">
        <f t="shared" si="1"/>
        <v>-7.9528420701918109E-2</v>
      </c>
      <c r="L15" s="11">
        <f t="shared" si="1"/>
        <v>-6.3513359310340703E-2</v>
      </c>
      <c r="M15" s="11">
        <f t="shared" si="1"/>
        <v>-4.2480608585151618E-2</v>
      </c>
      <c r="N15" s="11">
        <f t="shared" si="1"/>
        <v>-3.9836614540346559E-2</v>
      </c>
      <c r="O15" s="11">
        <f t="shared" si="1"/>
        <v>1.5788100338224226E-2</v>
      </c>
    </row>
    <row r="16" spans="1:25" customFormat="1">
      <c r="A16" s="4">
        <v>42278</v>
      </c>
      <c r="B16" s="5">
        <v>2079.360107</v>
      </c>
      <c r="C16" s="5">
        <v>6361.09</v>
      </c>
      <c r="D16" s="5">
        <v>19083.099609000001</v>
      </c>
      <c r="E16" s="5">
        <v>10850.139648</v>
      </c>
      <c r="F16" s="5">
        <v>4897.6601559999999</v>
      </c>
      <c r="G16" s="5">
        <v>13529.200194999999</v>
      </c>
      <c r="H16" s="5">
        <v>21052.48</v>
      </c>
      <c r="I16" s="11">
        <f t="shared" si="2"/>
        <v>8.2983117760394132E-2</v>
      </c>
      <c r="J16" s="11">
        <f t="shared" si="1"/>
        <v>4.9406015893467325E-2</v>
      </c>
      <c r="K16" s="11">
        <f t="shared" si="1"/>
        <v>9.7477257781097698E-2</v>
      </c>
      <c r="L16" s="11">
        <f t="shared" si="1"/>
        <v>0.12315165407008256</v>
      </c>
      <c r="M16" s="11">
        <f t="shared" si="1"/>
        <v>9.9290980638219103E-2</v>
      </c>
      <c r="N16" s="11">
        <f t="shared" si="1"/>
        <v>1.669799316149391E-2</v>
      </c>
      <c r="O16" s="11">
        <f t="shared" si="1"/>
        <v>2.8129834815358891E-2</v>
      </c>
      <c r="S16" s="7" t="s">
        <v>33</v>
      </c>
    </row>
    <row r="17" spans="1:24" customFormat="1">
      <c r="A17" s="4">
        <v>42309</v>
      </c>
      <c r="B17" s="5">
        <v>2080.4099120000001</v>
      </c>
      <c r="C17" s="5">
        <v>6356.09</v>
      </c>
      <c r="D17" s="5">
        <v>19747.470702999999</v>
      </c>
      <c r="E17" s="5">
        <v>11382.230469</v>
      </c>
      <c r="F17" s="5">
        <v>4957.6000979999999</v>
      </c>
      <c r="G17" s="5">
        <v>13469.799805000001</v>
      </c>
      <c r="H17" s="5">
        <v>21572.63</v>
      </c>
      <c r="I17" s="11">
        <f t="shared" si="2"/>
        <v>5.0486926072401835E-4</v>
      </c>
      <c r="J17" s="11">
        <f t="shared" si="1"/>
        <v>-7.8602880952792682E-4</v>
      </c>
      <c r="K17" s="11">
        <f t="shared" si="1"/>
        <v>3.4814632193538753E-2</v>
      </c>
      <c r="L17" s="11">
        <f t="shared" si="1"/>
        <v>4.9039997480408444E-2</v>
      </c>
      <c r="M17" s="11">
        <f t="shared" si="1"/>
        <v>1.2238485336016845E-2</v>
      </c>
      <c r="N17" s="11">
        <f t="shared" si="1"/>
        <v>-4.3905322667892478E-3</v>
      </c>
      <c r="O17" s="11">
        <f t="shared" si="1"/>
        <v>2.4707302892580895E-2</v>
      </c>
      <c r="R17" s="7" t="s">
        <v>1</v>
      </c>
      <c r="S17" s="10">
        <v>0</v>
      </c>
    </row>
    <row r="18" spans="1:24" customFormat="1">
      <c r="A18" s="4">
        <v>42339</v>
      </c>
      <c r="B18" s="5">
        <v>2043.9399410000001</v>
      </c>
      <c r="C18" s="5">
        <v>6242.32</v>
      </c>
      <c r="D18" s="5">
        <v>19033.710938</v>
      </c>
      <c r="E18" s="5">
        <v>10743.009765999999</v>
      </c>
      <c r="F18" s="5">
        <v>4637.0600590000004</v>
      </c>
      <c r="G18" s="5">
        <v>13010</v>
      </c>
      <c r="H18" s="5">
        <v>20506.560000000001</v>
      </c>
      <c r="I18" s="11">
        <f t="shared" si="2"/>
        <v>-1.7530185176314418E-2</v>
      </c>
      <c r="J18" s="11">
        <f t="shared" si="1"/>
        <v>-1.7899368951666893E-2</v>
      </c>
      <c r="K18" s="11">
        <f t="shared" si="1"/>
        <v>-3.6144363788906182E-2</v>
      </c>
      <c r="L18" s="11">
        <f t="shared" si="1"/>
        <v>-5.6159529078324874E-2</v>
      </c>
      <c r="M18" s="11">
        <f t="shared" si="1"/>
        <v>-6.4656291887946374E-2</v>
      </c>
      <c r="N18" s="11">
        <f t="shared" si="1"/>
        <v>-3.4135607927099444E-2</v>
      </c>
      <c r="O18" s="11">
        <f t="shared" si="1"/>
        <v>-4.9417711238731656E-2</v>
      </c>
      <c r="R18" s="7" t="s">
        <v>2</v>
      </c>
      <c r="S18" s="10">
        <v>0</v>
      </c>
    </row>
    <row r="19" spans="1:24" customFormat="1">
      <c r="A19" s="4">
        <v>42370</v>
      </c>
      <c r="B19" s="5">
        <v>1940.23999</v>
      </c>
      <c r="C19" s="5">
        <v>6083.79</v>
      </c>
      <c r="D19" s="5">
        <v>17518.300781000002</v>
      </c>
      <c r="E19" s="5">
        <v>9798.1103519999997</v>
      </c>
      <c r="F19" s="5">
        <v>4417.0200199999999</v>
      </c>
      <c r="G19" s="5">
        <v>12822.099609000001</v>
      </c>
      <c r="H19" s="5">
        <v>17836.03</v>
      </c>
      <c r="I19" s="11">
        <f t="shared" si="2"/>
        <v>-5.073532197294639E-2</v>
      </c>
      <c r="J19" s="11">
        <f t="shared" si="1"/>
        <v>-2.5396006612925924E-2</v>
      </c>
      <c r="K19" s="11">
        <f t="shared" si="1"/>
        <v>-7.9617167768085945E-2</v>
      </c>
      <c r="L19" s="11">
        <f t="shared" si="1"/>
        <v>-8.7954812904523574E-2</v>
      </c>
      <c r="M19" s="11">
        <f t="shared" si="1"/>
        <v>-4.7452488473365362E-2</v>
      </c>
      <c r="N19" s="11">
        <f t="shared" si="1"/>
        <v>-1.4442766410453438E-2</v>
      </c>
      <c r="O19" s="11">
        <f t="shared" si="1"/>
        <v>-0.13022808311096559</v>
      </c>
      <c r="R19" s="7" t="s">
        <v>3</v>
      </c>
      <c r="S19" s="10">
        <v>1.0000000010802834</v>
      </c>
      <c r="X19" s="8"/>
    </row>
    <row r="20" spans="1:24" customFormat="1">
      <c r="A20" s="4">
        <v>42401</v>
      </c>
      <c r="B20" s="5">
        <v>1932.2299800000001</v>
      </c>
      <c r="C20" s="5">
        <v>6097.09</v>
      </c>
      <c r="D20" s="5">
        <v>16026.759765999999</v>
      </c>
      <c r="E20" s="5">
        <v>9495.4003909999992</v>
      </c>
      <c r="F20" s="5">
        <v>4353.5498049999997</v>
      </c>
      <c r="G20" s="5">
        <v>12860.400390999999</v>
      </c>
      <c r="H20" s="5">
        <v>15773</v>
      </c>
      <c r="I20" s="11">
        <f t="shared" si="2"/>
        <v>-4.1283604302991229E-3</v>
      </c>
      <c r="J20" s="11">
        <f t="shared" si="1"/>
        <v>2.1861372598331276E-3</v>
      </c>
      <c r="K20" s="11">
        <f t="shared" si="1"/>
        <v>-8.5141877265727625E-2</v>
      </c>
      <c r="L20" s="11">
        <f t="shared" si="1"/>
        <v>-3.0894728690028586E-2</v>
      </c>
      <c r="M20" s="11">
        <f t="shared" si="1"/>
        <v>-1.4369465094704343E-2</v>
      </c>
      <c r="N20" s="11">
        <f t="shared" si="1"/>
        <v>2.9870912851990799E-3</v>
      </c>
      <c r="O20" s="11">
        <f t="shared" si="1"/>
        <v>-0.11566643473912069</v>
      </c>
      <c r="R20" s="7" t="s">
        <v>4</v>
      </c>
      <c r="S20" s="10">
        <v>0</v>
      </c>
      <c r="X20" s="8"/>
    </row>
    <row r="21" spans="1:24" customFormat="1">
      <c r="A21" s="4">
        <v>42430</v>
      </c>
      <c r="B21" s="5">
        <v>2059.73999</v>
      </c>
      <c r="C21" s="5">
        <v>6174.9</v>
      </c>
      <c r="D21" s="5">
        <v>16758.669922000001</v>
      </c>
      <c r="E21" s="5">
        <v>9965.5097659999992</v>
      </c>
      <c r="F21" s="5">
        <v>4385.0600590000004</v>
      </c>
      <c r="G21" s="5">
        <v>13494.400390999999</v>
      </c>
      <c r="H21" s="5">
        <v>17533.75</v>
      </c>
      <c r="I21" s="11">
        <f t="shared" si="2"/>
        <v>6.5991114577365145E-2</v>
      </c>
      <c r="J21" s="11">
        <f t="shared" si="2"/>
        <v>1.2761825723418793E-2</v>
      </c>
      <c r="K21" s="11">
        <f t="shared" si="2"/>
        <v>4.5668005678397572E-2</v>
      </c>
      <c r="L21" s="11">
        <f t="shared" si="2"/>
        <v>4.9509168191115199E-2</v>
      </c>
      <c r="M21" s="11">
        <f t="shared" si="2"/>
        <v>7.2378301412359099E-3</v>
      </c>
      <c r="N21" s="11">
        <f t="shared" si="2"/>
        <v>4.929862062799286E-2</v>
      </c>
      <c r="O21" s="11">
        <f t="shared" si="2"/>
        <v>0.11163063462879605</v>
      </c>
      <c r="R21" s="7" t="s">
        <v>5</v>
      </c>
      <c r="S21" s="10">
        <v>0</v>
      </c>
      <c r="U21" s="11"/>
      <c r="X21" s="13"/>
    </row>
    <row r="22" spans="1:24" customFormat="1">
      <c r="A22" s="4">
        <v>42461</v>
      </c>
      <c r="B22" s="5">
        <v>2065.3000489999999</v>
      </c>
      <c r="C22" s="5">
        <v>6241.89</v>
      </c>
      <c r="D22" s="5">
        <v>16666.050781000002</v>
      </c>
      <c r="E22" s="5">
        <v>10038.969727</v>
      </c>
      <c r="F22" s="5">
        <v>4428.9599609999996</v>
      </c>
      <c r="G22" s="5">
        <v>13951.5</v>
      </c>
      <c r="H22" s="5">
        <v>16777.87</v>
      </c>
      <c r="I22" s="11">
        <f t="shared" si="2"/>
        <v>2.6993984808732631E-3</v>
      </c>
      <c r="J22" s="11">
        <f t="shared" si="2"/>
        <v>1.0848758684351275E-2</v>
      </c>
      <c r="K22" s="11">
        <f t="shared" si="2"/>
        <v>-5.5266403259373901E-3</v>
      </c>
      <c r="L22" s="11">
        <f t="shared" si="2"/>
        <v>7.3714203011098108E-3</v>
      </c>
      <c r="M22" s="11">
        <f t="shared" si="2"/>
        <v>1.0011243040992794E-2</v>
      </c>
      <c r="N22" s="11">
        <f t="shared" si="2"/>
        <v>3.3873280453784398E-2</v>
      </c>
      <c r="O22" s="11">
        <f t="shared" si="2"/>
        <v>-4.3110002138732506E-2</v>
      </c>
      <c r="R22" s="7" t="s">
        <v>6</v>
      </c>
      <c r="S22" s="10">
        <v>0</v>
      </c>
      <c r="U22" s="13"/>
    </row>
    <row r="23" spans="1:24" customFormat="1">
      <c r="A23" s="4">
        <v>42491</v>
      </c>
      <c r="B23" s="5">
        <v>2096.9499510000001</v>
      </c>
      <c r="C23" s="5">
        <v>6230.79</v>
      </c>
      <c r="D23" s="5">
        <v>17234.980468999998</v>
      </c>
      <c r="E23" s="5">
        <v>10262.740234000001</v>
      </c>
      <c r="F23" s="5">
        <v>4505.6201170000004</v>
      </c>
      <c r="G23" s="5">
        <v>14065.799805000001</v>
      </c>
      <c r="H23" s="5">
        <v>17247.62</v>
      </c>
      <c r="I23" s="11">
        <f t="shared" si="2"/>
        <v>1.5324602357572555E-2</v>
      </c>
      <c r="J23" s="11">
        <f t="shared" si="2"/>
        <v>-1.778307531853391E-3</v>
      </c>
      <c r="K23" s="11">
        <f t="shared" si="2"/>
        <v>3.4137042750919749E-2</v>
      </c>
      <c r="L23" s="11">
        <f t="shared" si="2"/>
        <v>2.2290186451919072E-2</v>
      </c>
      <c r="M23" s="11">
        <f t="shared" si="2"/>
        <v>1.7308839247824673E-2</v>
      </c>
      <c r="N23" s="11">
        <f t="shared" si="2"/>
        <v>8.1926534781206727E-3</v>
      </c>
      <c r="O23" s="11">
        <f t="shared" si="2"/>
        <v>2.7998190473522564E-2</v>
      </c>
      <c r="R23" s="7" t="s">
        <v>7</v>
      </c>
      <c r="S23" s="10">
        <v>0</v>
      </c>
      <c r="X23" s="8"/>
    </row>
    <row r="24" spans="1:24" customFormat="1">
      <c r="A24" s="4">
        <v>42522</v>
      </c>
      <c r="B24" s="5">
        <v>2098.860107</v>
      </c>
      <c r="C24" s="5">
        <v>6504.33</v>
      </c>
      <c r="D24" s="5">
        <v>15575.919921999999</v>
      </c>
      <c r="E24" s="5">
        <v>9680.0898440000001</v>
      </c>
      <c r="F24" s="5">
        <v>4237.4799800000001</v>
      </c>
      <c r="G24" s="5">
        <v>14064.5</v>
      </c>
      <c r="H24" s="5">
        <v>15017.42</v>
      </c>
      <c r="I24" s="11">
        <f t="shared" si="2"/>
        <v>9.1092112097811118E-4</v>
      </c>
      <c r="J24" s="11">
        <f t="shared" si="2"/>
        <v>4.3901335143697665E-2</v>
      </c>
      <c r="K24" s="11">
        <f t="shared" si="2"/>
        <v>-9.6261237428385701E-2</v>
      </c>
      <c r="L24" s="11">
        <f t="shared" si="2"/>
        <v>-5.6773374041925562E-2</v>
      </c>
      <c r="M24" s="11">
        <f t="shared" si="2"/>
        <v>-5.9512371224615675E-2</v>
      </c>
      <c r="N24" s="11">
        <f t="shared" si="2"/>
        <v>-9.2408893772149092E-5</v>
      </c>
      <c r="O24" s="11">
        <f t="shared" si="2"/>
        <v>-0.12930479683573728</v>
      </c>
    </row>
    <row r="25" spans="1:24" customFormat="1">
      <c r="A25" s="4">
        <v>42552</v>
      </c>
      <c r="B25" s="5">
        <v>2173.6000979999999</v>
      </c>
      <c r="C25" s="5">
        <v>6724.43</v>
      </c>
      <c r="D25" s="5">
        <v>16569.269531000002</v>
      </c>
      <c r="E25" s="5">
        <v>10337.5</v>
      </c>
      <c r="F25" s="5">
        <v>4439.8100590000004</v>
      </c>
      <c r="G25" s="5">
        <v>14582.700194999999</v>
      </c>
      <c r="H25" s="5">
        <v>15293.1</v>
      </c>
      <c r="I25" s="11">
        <f t="shared" si="2"/>
        <v>3.5609801125254283E-2</v>
      </c>
      <c r="J25" s="11">
        <f t="shared" si="2"/>
        <v>3.3838996483880793E-2</v>
      </c>
      <c r="K25" s="11">
        <f t="shared" si="2"/>
        <v>6.377469927775882E-2</v>
      </c>
      <c r="L25" s="11">
        <f t="shared" si="2"/>
        <v>6.7913641980036146E-2</v>
      </c>
      <c r="M25" s="11">
        <f t="shared" si="2"/>
        <v>4.7747736851844733E-2</v>
      </c>
      <c r="N25" s="11">
        <f t="shared" si="2"/>
        <v>3.6844551530448966E-2</v>
      </c>
      <c r="O25" s="11">
        <f t="shared" si="2"/>
        <v>1.8357347666909517E-2</v>
      </c>
      <c r="R25" s="7" t="s">
        <v>24</v>
      </c>
      <c r="S25" s="10">
        <f>SUM(S17:S23)</f>
        <v>1.0000000010802834</v>
      </c>
    </row>
    <row r="26" spans="1:24" customFormat="1">
      <c r="A26" s="4">
        <v>42583</v>
      </c>
      <c r="B26" s="5">
        <v>2170.9499510000001</v>
      </c>
      <c r="C26" s="5">
        <v>6781.51</v>
      </c>
      <c r="D26" s="5">
        <v>16887.400390999999</v>
      </c>
      <c r="E26" s="5">
        <v>10592.690430000001</v>
      </c>
      <c r="F26" s="5">
        <v>4438.2202150000003</v>
      </c>
      <c r="G26" s="5">
        <v>14598</v>
      </c>
      <c r="H26" s="5">
        <v>15978.08</v>
      </c>
      <c r="I26" s="11">
        <f t="shared" si="2"/>
        <v>-1.2192431360480338E-3</v>
      </c>
      <c r="J26" s="11">
        <f t="shared" si="2"/>
        <v>8.4884518092983238E-3</v>
      </c>
      <c r="K26" s="11">
        <f t="shared" si="2"/>
        <v>1.9200053412420856E-2</v>
      </c>
      <c r="L26" s="11">
        <f t="shared" si="2"/>
        <v>2.4685894074969825E-2</v>
      </c>
      <c r="M26" s="11">
        <f t="shared" si="2"/>
        <v>-3.5808829181268459E-4</v>
      </c>
      <c r="N26" s="11">
        <f t="shared" si="2"/>
        <v>1.0491750358583409E-3</v>
      </c>
      <c r="O26" s="11">
        <f t="shared" si="2"/>
        <v>4.4790134112769782E-2</v>
      </c>
    </row>
    <row r="27" spans="1:24" customFormat="1">
      <c r="A27" s="4">
        <v>42614</v>
      </c>
      <c r="B27" s="5">
        <v>2168.2700199999999</v>
      </c>
      <c r="C27" s="5">
        <v>6899.33</v>
      </c>
      <c r="D27" s="5">
        <v>16449.839843999998</v>
      </c>
      <c r="E27" s="5">
        <v>10511.019531</v>
      </c>
      <c r="F27" s="5">
        <v>4448.2597660000001</v>
      </c>
      <c r="G27" s="5">
        <v>14725.900390999999</v>
      </c>
      <c r="H27" s="5">
        <v>15922.35</v>
      </c>
      <c r="I27" s="11">
        <f t="shared" si="2"/>
        <v>-1.2344508443253945E-3</v>
      </c>
      <c r="J27" s="11">
        <f t="shared" si="2"/>
        <v>1.7373711754461722E-2</v>
      </c>
      <c r="K27" s="11">
        <f t="shared" si="2"/>
        <v>-2.5910473895863526E-2</v>
      </c>
      <c r="L27" s="11">
        <f t="shared" si="2"/>
        <v>-7.7101185520061155E-3</v>
      </c>
      <c r="M27" s="11">
        <f t="shared" si="2"/>
        <v>2.2620668902522778E-3</v>
      </c>
      <c r="N27" s="11">
        <f t="shared" si="2"/>
        <v>8.7615009590354311E-3</v>
      </c>
      <c r="O27" s="11">
        <f t="shared" si="2"/>
        <v>-3.4879034276959161E-3</v>
      </c>
      <c r="R27" s="7" t="s">
        <v>25</v>
      </c>
      <c r="S27" s="15">
        <f>MMULT(S4:Y4,S17:S23)</f>
        <v>5.5000000059415586E-3</v>
      </c>
    </row>
    <row r="28" spans="1:24" customFormat="1">
      <c r="A28" s="4">
        <v>42644</v>
      </c>
      <c r="B28" s="5">
        <v>2126.1499020000001</v>
      </c>
      <c r="C28" s="5">
        <v>6954.22</v>
      </c>
      <c r="D28" s="5">
        <v>17425.019531000002</v>
      </c>
      <c r="E28" s="5">
        <v>10665.009765999999</v>
      </c>
      <c r="F28" s="5">
        <v>4509.2597660000001</v>
      </c>
      <c r="G28" s="5">
        <v>14787.299805000001</v>
      </c>
      <c r="H28" s="5">
        <v>16133.96</v>
      </c>
      <c r="I28" s="11">
        <f t="shared" si="2"/>
        <v>-1.9425679279557545E-2</v>
      </c>
      <c r="J28" s="11">
        <f t="shared" si="2"/>
        <v>7.9558449878466934E-3</v>
      </c>
      <c r="K28" s="11">
        <f t="shared" si="2"/>
        <v>5.928201710460395E-2</v>
      </c>
      <c r="L28" s="11">
        <f t="shared" si="2"/>
        <v>1.4650361417923171E-2</v>
      </c>
      <c r="M28" s="11">
        <f t="shared" si="2"/>
        <v>1.3713227915835704E-2</v>
      </c>
      <c r="N28" s="11">
        <f t="shared" si="2"/>
        <v>4.1694845387876388E-3</v>
      </c>
      <c r="O28" s="11">
        <f t="shared" si="2"/>
        <v>1.3290123631247822E-2</v>
      </c>
      <c r="R28" s="7" t="s">
        <v>26</v>
      </c>
      <c r="S28" s="9">
        <f t="array" ref="S28">MMULT(TRANSPOSE(S17:S23),MMULT(S8:Y14,S17:S23))</f>
        <v>2.1902907165699615E-3</v>
      </c>
    </row>
    <row r="29" spans="1:24" customFormat="1">
      <c r="A29" s="4">
        <v>42675</v>
      </c>
      <c r="B29" s="5">
        <v>2198.8100589999999</v>
      </c>
      <c r="C29" s="5">
        <v>6783.79</v>
      </c>
      <c r="D29" s="5">
        <v>18308.480468999998</v>
      </c>
      <c r="E29" s="5">
        <v>10640.299805000001</v>
      </c>
      <c r="F29" s="5">
        <v>4578.3398440000001</v>
      </c>
      <c r="G29" s="5">
        <v>15082.900390999999</v>
      </c>
      <c r="H29" s="5">
        <v>16039.59</v>
      </c>
      <c r="I29" s="11">
        <f t="shared" si="2"/>
        <v>3.4174522187570479E-2</v>
      </c>
      <c r="J29" s="11">
        <f t="shared" si="2"/>
        <v>-2.4507421393053466E-2</v>
      </c>
      <c r="K29" s="11">
        <f t="shared" si="2"/>
        <v>5.0700714362372695E-2</v>
      </c>
      <c r="L29" s="11">
        <f t="shared" si="2"/>
        <v>-2.3169187410192436E-3</v>
      </c>
      <c r="M29" s="11">
        <f t="shared" si="2"/>
        <v>1.5319604898539339E-2</v>
      </c>
      <c r="N29" s="11">
        <f t="shared" si="2"/>
        <v>1.9990166554954666E-2</v>
      </c>
      <c r="O29" s="11">
        <f t="shared" si="2"/>
        <v>-5.8491529667855247E-3</v>
      </c>
      <c r="R29" s="7" t="s">
        <v>28</v>
      </c>
      <c r="S29" s="15">
        <v>5.52935897435899E-3</v>
      </c>
    </row>
    <row r="30" spans="1:24" customFormat="1">
      <c r="A30" s="4">
        <v>42705</v>
      </c>
      <c r="B30" s="5">
        <v>2238.830078</v>
      </c>
      <c r="C30" s="5">
        <v>7142.83</v>
      </c>
      <c r="D30" s="5">
        <v>19114.369140999999</v>
      </c>
      <c r="E30" s="5">
        <v>11481.059569999999</v>
      </c>
      <c r="F30" s="5">
        <v>4862.3100590000004</v>
      </c>
      <c r="G30" s="5">
        <v>15287.599609000001</v>
      </c>
      <c r="H30" s="5">
        <v>16723.18</v>
      </c>
      <c r="I30" s="11">
        <f t="shared" si="2"/>
        <v>1.8200762196895176E-2</v>
      </c>
      <c r="J30" s="11">
        <f t="shared" si="2"/>
        <v>5.2926166641361239E-2</v>
      </c>
      <c r="K30" s="11">
        <f t="shared" si="2"/>
        <v>4.4017234164491985E-2</v>
      </c>
      <c r="L30" s="11">
        <f t="shared" si="2"/>
        <v>7.9016548443956072E-2</v>
      </c>
      <c r="M30" s="11">
        <f t="shared" si="2"/>
        <v>6.2024713034823868E-2</v>
      </c>
      <c r="N30" s="11">
        <f t="shared" si="2"/>
        <v>1.3571608423678648E-2</v>
      </c>
      <c r="O30" s="11">
        <f t="shared" si="2"/>
        <v>4.2618919810294413E-2</v>
      </c>
      <c r="R30" s="1"/>
    </row>
    <row r="31" spans="1:24" customFormat="1">
      <c r="A31" s="4">
        <v>42736</v>
      </c>
      <c r="B31" s="5">
        <v>2278.8701169999999</v>
      </c>
      <c r="C31" s="5">
        <v>7099.15</v>
      </c>
      <c r="D31" s="5">
        <v>19041.339843999998</v>
      </c>
      <c r="E31" s="5">
        <v>11535.309569999999</v>
      </c>
      <c r="F31" s="5">
        <v>4748.8999020000001</v>
      </c>
      <c r="G31" s="5">
        <v>15386</v>
      </c>
      <c r="H31" s="5">
        <v>18523.66</v>
      </c>
      <c r="I31" s="11">
        <f t="shared" si="2"/>
        <v>1.7884358171464578E-2</v>
      </c>
      <c r="J31" s="11">
        <f t="shared" si="2"/>
        <v>-6.1152232378483447E-3</v>
      </c>
      <c r="K31" s="11">
        <f t="shared" si="2"/>
        <v>-3.8206490866263716E-3</v>
      </c>
      <c r="L31" s="11">
        <f t="shared" si="2"/>
        <v>4.7251736365653231E-3</v>
      </c>
      <c r="M31" s="11">
        <f t="shared" si="2"/>
        <v>-2.3324336709067167E-2</v>
      </c>
      <c r="N31" s="11">
        <f t="shared" si="2"/>
        <v>6.4366148719691534E-3</v>
      </c>
      <c r="O31" s="11">
        <f t="shared" si="2"/>
        <v>0.1076637338113923</v>
      </c>
      <c r="R31" s="19" t="s">
        <v>34</v>
      </c>
      <c r="S31" s="19" t="s">
        <v>32</v>
      </c>
      <c r="T31" s="19" t="s">
        <v>25</v>
      </c>
    </row>
    <row r="32" spans="1:24" customFormat="1">
      <c r="A32" s="4">
        <v>42767</v>
      </c>
      <c r="B32" s="5">
        <v>2363.639893</v>
      </c>
      <c r="C32" s="5">
        <v>7263.44</v>
      </c>
      <c r="D32" s="5">
        <v>19118.990234000001</v>
      </c>
      <c r="E32" s="5">
        <v>11834.410156</v>
      </c>
      <c r="F32" s="5">
        <v>4858.580078</v>
      </c>
      <c r="G32" s="5">
        <v>15399.200194999999</v>
      </c>
      <c r="H32" s="5">
        <v>18424.310000000001</v>
      </c>
      <c r="I32" s="11">
        <f t="shared" si="2"/>
        <v>3.719816033727915E-2</v>
      </c>
      <c r="J32" s="11">
        <f t="shared" si="2"/>
        <v>2.3142207165646588E-2</v>
      </c>
      <c r="K32" s="11">
        <f t="shared" si="2"/>
        <v>4.0779898177422877E-3</v>
      </c>
      <c r="L32" s="11">
        <f t="shared" si="2"/>
        <v>2.5929133863721743E-2</v>
      </c>
      <c r="M32" s="11">
        <f t="shared" si="2"/>
        <v>2.309591237200178E-2</v>
      </c>
      <c r="N32" s="11">
        <f t="shared" si="2"/>
        <v>8.5793546080849075E-4</v>
      </c>
      <c r="O32" s="11">
        <f t="shared" si="2"/>
        <v>-5.3634109025969242E-3</v>
      </c>
      <c r="R32" s="16">
        <v>1</v>
      </c>
      <c r="S32" s="17">
        <v>2.4631705404090772E-2</v>
      </c>
      <c r="T32" s="18">
        <v>4.3549999999928299E-3</v>
      </c>
    </row>
    <row r="33" spans="1:20" customFormat="1">
      <c r="A33" s="4">
        <v>42795</v>
      </c>
      <c r="B33" s="5">
        <v>2362.719971</v>
      </c>
      <c r="C33" s="5">
        <v>7322.92</v>
      </c>
      <c r="D33" s="5">
        <v>18909.259765999999</v>
      </c>
      <c r="E33" s="5">
        <v>12312.870117</v>
      </c>
      <c r="F33" s="5">
        <v>5122.5097660000001</v>
      </c>
      <c r="G33" s="5">
        <v>15547.799805000001</v>
      </c>
      <c r="H33" s="5">
        <v>19028.490000000002</v>
      </c>
      <c r="I33" s="11">
        <f t="shared" si="2"/>
        <v>-3.8919718808453973E-4</v>
      </c>
      <c r="J33" s="11">
        <f t="shared" si="2"/>
        <v>8.1889572984702123E-3</v>
      </c>
      <c r="K33" s="11">
        <f t="shared" si="2"/>
        <v>-1.0969746070952543E-2</v>
      </c>
      <c r="L33" s="11">
        <f t="shared" si="2"/>
        <v>4.0429557087593687E-2</v>
      </c>
      <c r="M33" s="11">
        <f t="shared" si="2"/>
        <v>5.4322391267171408E-2</v>
      </c>
      <c r="N33" s="11">
        <f t="shared" si="2"/>
        <v>9.6498264921739407E-3</v>
      </c>
      <c r="O33" s="11">
        <f t="shared" si="2"/>
        <v>3.2792544198398763E-2</v>
      </c>
      <c r="R33" s="16">
        <v>2</v>
      </c>
      <c r="S33" s="17">
        <v>2.4660722515712278E-2</v>
      </c>
      <c r="T33" s="18">
        <v>4.3843633130170494E-3</v>
      </c>
    </row>
    <row r="34" spans="1:20" customFormat="1">
      <c r="A34" s="4">
        <v>42826</v>
      </c>
      <c r="B34" s="5">
        <v>2384.1999510000001</v>
      </c>
      <c r="C34" s="5">
        <v>7203.94</v>
      </c>
      <c r="D34" s="5">
        <v>19196.740234000001</v>
      </c>
      <c r="E34" s="5">
        <v>12438.009765999999</v>
      </c>
      <c r="F34" s="5">
        <v>5267.330078</v>
      </c>
      <c r="G34" s="5">
        <v>15586.099609000001</v>
      </c>
      <c r="H34" s="5">
        <v>19442.71</v>
      </c>
      <c r="I34" s="11">
        <f t="shared" si="2"/>
        <v>9.0912085493182089E-3</v>
      </c>
      <c r="J34" s="11">
        <f t="shared" si="2"/>
        <v>-1.6247617070786036E-2</v>
      </c>
      <c r="K34" s="11">
        <f t="shared" si="2"/>
        <v>1.520315821758972E-2</v>
      </c>
      <c r="L34" s="11">
        <f t="shared" si="2"/>
        <v>1.0163320802614687E-2</v>
      </c>
      <c r="M34" s="11">
        <f t="shared" si="2"/>
        <v>2.8271358887634736E-2</v>
      </c>
      <c r="N34" s="11">
        <f t="shared" si="2"/>
        <v>2.4633584481634132E-3</v>
      </c>
      <c r="O34" s="11">
        <f t="shared" si="2"/>
        <v>2.1768411471430341E-2</v>
      </c>
      <c r="R34" s="16">
        <v>3</v>
      </c>
      <c r="S34" s="17">
        <v>2.4748420678559837E-2</v>
      </c>
      <c r="T34" s="18">
        <v>4.4137179474159427E-3</v>
      </c>
    </row>
    <row r="35" spans="1:20" customFormat="1">
      <c r="A35" s="4">
        <v>42856</v>
      </c>
      <c r="B35" s="5">
        <v>2411.8000489999999</v>
      </c>
      <c r="C35" s="5">
        <v>7519.95</v>
      </c>
      <c r="D35" s="5">
        <v>19650.570313</v>
      </c>
      <c r="E35" s="5">
        <v>12615.059569999999</v>
      </c>
      <c r="F35" s="5">
        <v>5283.6298829999996</v>
      </c>
      <c r="G35" s="5">
        <v>15349.900390999999</v>
      </c>
      <c r="H35" s="5">
        <v>20572.22</v>
      </c>
      <c r="I35" s="11">
        <f t="shared" si="2"/>
        <v>1.1576251391341417E-2</v>
      </c>
      <c r="J35" s="11">
        <f t="shared" si="2"/>
        <v>4.3866273178288583E-2</v>
      </c>
      <c r="K35" s="11">
        <f t="shared" si="2"/>
        <v>2.3640997037413961E-2</v>
      </c>
      <c r="L35" s="11">
        <f t="shared" si="2"/>
        <v>1.4234576699238156E-2</v>
      </c>
      <c r="M35" s="11">
        <f t="shared" si="2"/>
        <v>3.0945098861525442E-3</v>
      </c>
      <c r="N35" s="11">
        <f t="shared" si="2"/>
        <v>-1.5154478921949866E-2</v>
      </c>
      <c r="O35" s="11">
        <f t="shared" si="2"/>
        <v>5.8094267722966712E-2</v>
      </c>
      <c r="R35" s="16">
        <v>4</v>
      </c>
      <c r="S35" s="17">
        <v>2.489029850329557E-2</v>
      </c>
      <c r="T35" s="18">
        <v>4.4430769277007233E-3</v>
      </c>
    </row>
    <row r="36" spans="1:20" customFormat="1">
      <c r="A36" s="4">
        <v>42887</v>
      </c>
      <c r="B36" s="5">
        <v>2423.4099120000001</v>
      </c>
      <c r="C36" s="5">
        <v>7312.72</v>
      </c>
      <c r="D36" s="5">
        <v>20033.429688</v>
      </c>
      <c r="E36" s="5">
        <v>12325.120117</v>
      </c>
      <c r="F36" s="5">
        <v>5120.6801759999998</v>
      </c>
      <c r="G36" s="5">
        <v>15182.200194999999</v>
      </c>
      <c r="H36" s="5">
        <v>20537.349999999999</v>
      </c>
      <c r="I36" s="11">
        <f t="shared" si="2"/>
        <v>4.8137750908554414E-3</v>
      </c>
      <c r="J36" s="11">
        <f t="shared" si="2"/>
        <v>-2.7557364078218547E-2</v>
      </c>
      <c r="K36" s="11">
        <f t="shared" si="2"/>
        <v>1.9483372182165937E-2</v>
      </c>
      <c r="L36" s="11">
        <f t="shared" si="2"/>
        <v>-2.2983597611342794E-2</v>
      </c>
      <c r="M36" s="11">
        <f t="shared" si="2"/>
        <v>-3.084048478192767E-2</v>
      </c>
      <c r="N36" s="11">
        <f t="shared" si="2"/>
        <v>-1.092516509737915E-2</v>
      </c>
      <c r="O36" s="11">
        <f t="shared" si="2"/>
        <v>-1.6950042338650189E-3</v>
      </c>
      <c r="R36" s="16">
        <v>5</v>
      </c>
      <c r="S36" s="17">
        <v>2.5055022980843302E-2</v>
      </c>
      <c r="T36" s="18">
        <v>4.4724358913788712E-3</v>
      </c>
    </row>
    <row r="37" spans="1:20" customFormat="1">
      <c r="A37" s="4">
        <v>42917</v>
      </c>
      <c r="B37" s="5">
        <v>2470.3000489999999</v>
      </c>
      <c r="C37" s="5">
        <v>7372</v>
      </c>
      <c r="D37" s="5">
        <v>19925.179688</v>
      </c>
      <c r="E37" s="5">
        <v>12118.25</v>
      </c>
      <c r="F37" s="5">
        <v>5093.7700199999999</v>
      </c>
      <c r="G37" s="5">
        <v>15143.900390999999</v>
      </c>
      <c r="H37" s="5">
        <v>20703.95</v>
      </c>
      <c r="I37" s="11">
        <f t="shared" si="2"/>
        <v>1.9348826118030613E-2</v>
      </c>
      <c r="J37" s="11">
        <f t="shared" si="2"/>
        <v>8.1064227811265491E-3</v>
      </c>
      <c r="K37" s="11">
        <f t="shared" si="2"/>
        <v>-5.4034681872191671E-3</v>
      </c>
      <c r="L37" s="11">
        <f t="shared" si="2"/>
        <v>-1.6784430093680393E-2</v>
      </c>
      <c r="M37" s="11">
        <f t="shared" si="2"/>
        <v>-5.2551917079540558E-3</v>
      </c>
      <c r="N37" s="11">
        <f t="shared" si="2"/>
        <v>-2.5226781038372565E-3</v>
      </c>
      <c r="O37" s="11">
        <f t="shared" si="2"/>
        <v>8.1120495097956741E-3</v>
      </c>
      <c r="R37" s="16">
        <v>6</v>
      </c>
      <c r="S37" s="17">
        <v>2.5235715395029723E-2</v>
      </c>
      <c r="T37" s="18">
        <v>4.5017950753633669E-3</v>
      </c>
    </row>
    <row r="38" spans="1:20" customFormat="1">
      <c r="A38" s="4">
        <v>42948</v>
      </c>
      <c r="B38" s="5">
        <v>2471.6499020000001</v>
      </c>
      <c r="C38" s="5">
        <v>7430.62</v>
      </c>
      <c r="D38" s="5">
        <v>19646.240234000001</v>
      </c>
      <c r="E38" s="5">
        <v>12055.839844</v>
      </c>
      <c r="F38" s="5">
        <v>5085.5898440000001</v>
      </c>
      <c r="G38" s="5">
        <v>15211.900390999999</v>
      </c>
      <c r="H38" s="5">
        <v>21329.21</v>
      </c>
      <c r="I38" s="11">
        <f t="shared" si="2"/>
        <v>5.4643281108568138E-4</v>
      </c>
      <c r="J38" s="11">
        <f t="shared" si="2"/>
        <v>7.9517091698317818E-3</v>
      </c>
      <c r="K38" s="11">
        <f t="shared" si="2"/>
        <v>-1.3999344466037188E-2</v>
      </c>
      <c r="L38" s="11">
        <f t="shared" si="2"/>
        <v>-5.1500964248138072E-3</v>
      </c>
      <c r="M38" s="11">
        <f t="shared" si="2"/>
        <v>-1.6059178109497465E-3</v>
      </c>
      <c r="N38" s="11">
        <f t="shared" si="2"/>
        <v>4.49025668713539E-3</v>
      </c>
      <c r="O38" s="11">
        <f t="shared" si="2"/>
        <v>3.0200034292973001E-2</v>
      </c>
      <c r="R38" s="16">
        <v>7</v>
      </c>
      <c r="S38" s="17">
        <v>2.5433492408056799E-2</v>
      </c>
      <c r="T38" s="18">
        <v>4.5311583419995263E-3</v>
      </c>
    </row>
    <row r="39" spans="1:20" customFormat="1">
      <c r="A39" s="4">
        <v>42979</v>
      </c>
      <c r="B39" s="5">
        <v>2519.360107</v>
      </c>
      <c r="C39" s="5">
        <v>7372.76</v>
      </c>
      <c r="D39" s="5">
        <v>20356.279297000001</v>
      </c>
      <c r="E39" s="5">
        <v>12828.860352</v>
      </c>
      <c r="F39" s="5">
        <v>5329.8100590000004</v>
      </c>
      <c r="G39" s="5">
        <v>15634.900390999999</v>
      </c>
      <c r="H39" s="5">
        <v>21581.89</v>
      </c>
      <c r="I39" s="11">
        <f t="shared" si="2"/>
        <v>1.9302978533243684E-2</v>
      </c>
      <c r="J39" s="11">
        <f t="shared" si="2"/>
        <v>-7.7866988219017627E-3</v>
      </c>
      <c r="K39" s="11">
        <f t="shared" si="2"/>
        <v>3.6141218601775965E-2</v>
      </c>
      <c r="L39" s="11">
        <f t="shared" si="2"/>
        <v>6.4120004744814163E-2</v>
      </c>
      <c r="M39" s="11">
        <f t="shared" si="2"/>
        <v>4.8022003836611461E-2</v>
      </c>
      <c r="N39" s="11">
        <f t="shared" si="2"/>
        <v>2.7807176560942025E-2</v>
      </c>
      <c r="O39" s="11">
        <f t="shared" si="2"/>
        <v>1.1846664738168939E-2</v>
      </c>
      <c r="R39" s="16">
        <v>8</v>
      </c>
      <c r="S39" s="17">
        <v>2.5651005765452858E-2</v>
      </c>
      <c r="T39" s="18">
        <v>4.5605128107676328E-3</v>
      </c>
    </row>
    <row r="40" spans="1:20" customFormat="1">
      <c r="A40" s="4">
        <v>43009</v>
      </c>
      <c r="B40" s="5">
        <v>2575.26001</v>
      </c>
      <c r="C40" s="5">
        <v>7493.08</v>
      </c>
      <c r="D40" s="5">
        <v>22011.609375</v>
      </c>
      <c r="E40" s="5">
        <v>13229.570313</v>
      </c>
      <c r="F40" s="5">
        <v>5503.2900390000004</v>
      </c>
      <c r="G40" s="5">
        <v>16025.599609000001</v>
      </c>
      <c r="H40" s="5">
        <v>22021.02</v>
      </c>
      <c r="I40" s="11">
        <f t="shared" si="2"/>
        <v>2.2188135330349579E-2</v>
      </c>
      <c r="J40" s="11">
        <f t="shared" si="2"/>
        <v>1.6319532983577346E-2</v>
      </c>
      <c r="K40" s="11">
        <f t="shared" si="2"/>
        <v>8.1317909518167822E-2</v>
      </c>
      <c r="L40" s="11">
        <f t="shared" si="2"/>
        <v>3.1235039590833992E-2</v>
      </c>
      <c r="M40" s="11">
        <f t="shared" si="2"/>
        <v>3.2548998572108412E-2</v>
      </c>
      <c r="N40" s="11">
        <f t="shared" si="2"/>
        <v>2.4988916349278557E-2</v>
      </c>
      <c r="O40" s="11">
        <f t="shared" si="2"/>
        <v>2.0347152172492819E-2</v>
      </c>
      <c r="R40" s="16">
        <v>9</v>
      </c>
      <c r="S40" s="17">
        <v>2.5887963606583787E-2</v>
      </c>
      <c r="T40" s="18">
        <v>4.5898718013327646E-3</v>
      </c>
    </row>
    <row r="41" spans="1:20" customFormat="1">
      <c r="A41" s="4">
        <v>43040</v>
      </c>
      <c r="B41" s="5">
        <v>2584.8400879999999</v>
      </c>
      <c r="C41" s="5">
        <v>7326.67</v>
      </c>
      <c r="D41" s="5">
        <v>22724.960938</v>
      </c>
      <c r="E41" s="5">
        <v>13023.980469</v>
      </c>
      <c r="F41" s="5">
        <v>5372.7900390000004</v>
      </c>
      <c r="G41" s="5">
        <v>16067.5</v>
      </c>
      <c r="H41" s="5">
        <v>21932.57</v>
      </c>
      <c r="I41" s="11">
        <f t="shared" si="2"/>
        <v>3.7200430103366371E-3</v>
      </c>
      <c r="J41" s="11">
        <f t="shared" si="2"/>
        <v>-2.2208491034394384E-2</v>
      </c>
      <c r="K41" s="11">
        <f t="shared" si="2"/>
        <v>3.2407969396831084E-2</v>
      </c>
      <c r="L41" s="11">
        <f t="shared" si="2"/>
        <v>-1.5540175465712427E-2</v>
      </c>
      <c r="M41" s="11">
        <f t="shared" si="2"/>
        <v>-2.3713087821137822E-2</v>
      </c>
      <c r="N41" s="11">
        <f t="shared" si="2"/>
        <v>2.61459115554515E-3</v>
      </c>
      <c r="O41" s="11">
        <f t="shared" si="2"/>
        <v>-4.0166168506272975E-3</v>
      </c>
      <c r="R41" s="16">
        <v>10</v>
      </c>
      <c r="S41" s="17">
        <v>2.6153085848108812E-2</v>
      </c>
      <c r="T41" s="18">
        <v>4.6192307757243565E-3</v>
      </c>
    </row>
    <row r="42" spans="1:20" customFormat="1">
      <c r="A42" s="4">
        <v>43070</v>
      </c>
      <c r="B42" s="5">
        <v>2673.610107</v>
      </c>
      <c r="C42" s="5">
        <v>7687.77</v>
      </c>
      <c r="D42" s="5">
        <v>22764.939452999999</v>
      </c>
      <c r="E42" s="5">
        <v>12917.639648</v>
      </c>
      <c r="F42" s="5">
        <v>5312.5600590000004</v>
      </c>
      <c r="G42" s="5">
        <v>16209.099609000001</v>
      </c>
      <c r="H42" s="5">
        <v>21833.8</v>
      </c>
      <c r="I42" s="11">
        <f t="shared" si="2"/>
        <v>3.4342557364422946E-2</v>
      </c>
      <c r="J42" s="11">
        <f t="shared" si="2"/>
        <v>4.9285691862742606E-2</v>
      </c>
      <c r="K42" s="11">
        <f t="shared" si="2"/>
        <v>1.75923360700471E-3</v>
      </c>
      <c r="L42" s="11">
        <f t="shared" si="2"/>
        <v>-8.1650015717633188E-3</v>
      </c>
      <c r="M42" s="11">
        <f t="shared" si="2"/>
        <v>-1.1210186804770478E-2</v>
      </c>
      <c r="N42" s="11">
        <f t="shared" si="2"/>
        <v>8.8127965769410795E-3</v>
      </c>
      <c r="O42" s="11">
        <f t="shared" si="2"/>
        <v>-4.5033482168300581E-3</v>
      </c>
      <c r="R42" s="16">
        <v>11</v>
      </c>
      <c r="S42" s="17">
        <v>2.6459820304153565E-2</v>
      </c>
      <c r="T42" s="18">
        <v>4.648589752348717E-3</v>
      </c>
    </row>
    <row r="43" spans="1:20" customFormat="1">
      <c r="A43" s="4">
        <v>43101</v>
      </c>
      <c r="B43" s="5">
        <v>2823.8100589999999</v>
      </c>
      <c r="C43" s="5">
        <v>7533.55</v>
      </c>
      <c r="D43" s="5">
        <v>23098.289063</v>
      </c>
      <c r="E43" s="5">
        <v>13189.480469</v>
      </c>
      <c r="F43" s="5">
        <v>5481.9301759999998</v>
      </c>
      <c r="G43" s="5">
        <v>15951.700194999999</v>
      </c>
      <c r="H43" s="5">
        <v>21613.89</v>
      </c>
      <c r="I43" s="11">
        <f t="shared" si="2"/>
        <v>5.6178704444133053E-2</v>
      </c>
      <c r="J43" s="11">
        <f t="shared" si="2"/>
        <v>-2.0060433649810056E-2</v>
      </c>
      <c r="K43" s="11">
        <f t="shared" si="2"/>
        <v>1.4643114280546517E-2</v>
      </c>
      <c r="L43" s="11">
        <f t="shared" si="2"/>
        <v>2.1044155775168112E-2</v>
      </c>
      <c r="M43" s="11">
        <f t="shared" si="2"/>
        <v>3.1881073365574442E-2</v>
      </c>
      <c r="N43" s="11">
        <f t="shared" si="2"/>
        <v>-1.5879932890108341E-2</v>
      </c>
      <c r="O43" s="11">
        <f t="shared" si="2"/>
        <v>-1.0071998461101588E-2</v>
      </c>
      <c r="R43" s="16">
        <v>12</v>
      </c>
      <c r="S43" s="17">
        <v>2.6806903221621093E-2</v>
      </c>
      <c r="T43" s="18">
        <v>4.6779487013970389E-3</v>
      </c>
    </row>
    <row r="44" spans="1:20" customFormat="1">
      <c r="A44" s="4">
        <v>43132</v>
      </c>
      <c r="B44" s="5">
        <v>2713.830078</v>
      </c>
      <c r="C44" s="5">
        <v>7231.91</v>
      </c>
      <c r="D44" s="5">
        <v>22068.240234000001</v>
      </c>
      <c r="E44" s="5">
        <v>12435.849609000001</v>
      </c>
      <c r="F44" s="5">
        <v>5320.4902339999999</v>
      </c>
      <c r="G44" s="5">
        <v>15442.700194999999</v>
      </c>
      <c r="H44" s="5">
        <v>21907.71</v>
      </c>
      <c r="I44" s="11">
        <f t="shared" si="2"/>
        <v>-3.8947372061896871E-2</v>
      </c>
      <c r="J44" s="11">
        <f t="shared" si="2"/>
        <v>-4.003955638444031E-2</v>
      </c>
      <c r="K44" s="11">
        <f t="shared" si="2"/>
        <v>-4.459416133335968E-2</v>
      </c>
      <c r="L44" s="11">
        <f t="shared" si="2"/>
        <v>-5.7138782817966298E-2</v>
      </c>
      <c r="M44" s="11">
        <f t="shared" si="2"/>
        <v>-2.944947068220374E-2</v>
      </c>
      <c r="N44" s="11">
        <f t="shared" si="2"/>
        <v>-3.1908824374692307E-2</v>
      </c>
      <c r="O44" s="11">
        <f t="shared" si="2"/>
        <v>1.3594036057368652E-2</v>
      </c>
      <c r="R44" s="16">
        <v>13</v>
      </c>
      <c r="S44" s="17">
        <v>2.7192792925333147E-2</v>
      </c>
      <c r="T44" s="18">
        <v>4.7073078773351889E-3</v>
      </c>
    </row>
    <row r="45" spans="1:20" customFormat="1">
      <c r="A45" s="4">
        <v>43160</v>
      </c>
      <c r="B45" s="5">
        <v>2640.8701169999999</v>
      </c>
      <c r="C45" s="5">
        <v>7056.61</v>
      </c>
      <c r="D45" s="5">
        <v>21454.300781000002</v>
      </c>
      <c r="E45" s="5">
        <v>12096.730469</v>
      </c>
      <c r="F45" s="5">
        <v>5167.2998049999997</v>
      </c>
      <c r="G45" s="5">
        <v>15367.299805000001</v>
      </c>
      <c r="H45" s="5">
        <v>21460.46</v>
      </c>
      <c r="I45" s="11">
        <f t="shared" si="2"/>
        <v>-2.6884498624825112E-2</v>
      </c>
      <c r="J45" s="11">
        <f t="shared" si="2"/>
        <v>-2.4239792807156088E-2</v>
      </c>
      <c r="K45" s="11">
        <f t="shared" si="2"/>
        <v>-2.7820045753087167E-2</v>
      </c>
      <c r="L45" s="11">
        <f t="shared" si="2"/>
        <v>-2.7269479019316489E-2</v>
      </c>
      <c r="M45" s="11">
        <f t="shared" si="2"/>
        <v>-2.8792540210120839E-2</v>
      </c>
      <c r="N45" s="11">
        <f t="shared" si="2"/>
        <v>-4.88259106554512E-3</v>
      </c>
      <c r="O45" s="11">
        <f t="shared" si="2"/>
        <v>-2.0415187164701379E-2</v>
      </c>
      <c r="R45" s="16">
        <v>14</v>
      </c>
      <c r="S45" s="17">
        <v>2.7615865792311133E-2</v>
      </c>
      <c r="T45" s="18">
        <v>4.7366674144875606E-3</v>
      </c>
    </row>
    <row r="46" spans="1:20" customFormat="1">
      <c r="A46" s="4">
        <v>43191</v>
      </c>
      <c r="B46" s="5">
        <v>2648.0500489999999</v>
      </c>
      <c r="C46" s="5">
        <v>7509.3</v>
      </c>
      <c r="D46" s="5">
        <v>22467.869140999999</v>
      </c>
      <c r="E46" s="5">
        <v>12612.110352</v>
      </c>
      <c r="F46" s="5">
        <v>5520.5</v>
      </c>
      <c r="G46" s="5">
        <v>15607.900390999999</v>
      </c>
      <c r="H46" s="5">
        <v>22205.68</v>
      </c>
      <c r="I46" s="11">
        <f t="shared" si="2"/>
        <v>2.7187751316434801E-3</v>
      </c>
      <c r="J46" s="11">
        <f t="shared" si="2"/>
        <v>6.415120008049198E-2</v>
      </c>
      <c r="K46" s="11">
        <f t="shared" si="2"/>
        <v>4.7243131824534546E-2</v>
      </c>
      <c r="L46" s="11">
        <f t="shared" si="2"/>
        <v>4.2604890992715035E-2</v>
      </c>
      <c r="M46" s="11">
        <f t="shared" si="2"/>
        <v>6.8352951895346889E-2</v>
      </c>
      <c r="N46" s="11">
        <f t="shared" si="2"/>
        <v>1.5656659859119515E-2</v>
      </c>
      <c r="O46" s="11">
        <f t="shared" si="2"/>
        <v>3.4725257520109132E-2</v>
      </c>
      <c r="R46" s="16">
        <v>15</v>
      </c>
      <c r="S46" s="17">
        <v>2.8074415324966823E-2</v>
      </c>
      <c r="T46" s="18">
        <v>4.7660256420593572E-3</v>
      </c>
    </row>
    <row r="47" spans="1:20" customFormat="1">
      <c r="A47" s="4">
        <v>43221</v>
      </c>
      <c r="B47" s="5">
        <v>2705.2700199999999</v>
      </c>
      <c r="C47" s="5">
        <v>7678.2</v>
      </c>
      <c r="D47" s="5">
        <v>22201.820313</v>
      </c>
      <c r="E47" s="5">
        <v>12604.889648</v>
      </c>
      <c r="F47" s="5">
        <v>5398.3999020000001</v>
      </c>
      <c r="G47" s="5">
        <v>16061.5</v>
      </c>
      <c r="H47" s="5">
        <v>21122.51</v>
      </c>
      <c r="I47" s="11">
        <f t="shared" si="2"/>
        <v>2.1608341965291905E-2</v>
      </c>
      <c r="J47" s="11">
        <f t="shared" si="2"/>
        <v>2.2492109783867956E-2</v>
      </c>
      <c r="K47" s="11">
        <f t="shared" si="2"/>
        <v>-1.1841302187153372E-2</v>
      </c>
      <c r="L47" s="11">
        <f t="shared" si="2"/>
        <v>-5.7252147328811973E-4</v>
      </c>
      <c r="M47" s="11">
        <f t="shared" si="2"/>
        <v>-2.2117579567068179E-2</v>
      </c>
      <c r="N47" s="11">
        <f t="shared" si="2"/>
        <v>2.9062179898428901E-2</v>
      </c>
      <c r="O47" s="11">
        <f t="shared" si="2"/>
        <v>-4.8778961058612118E-2</v>
      </c>
      <c r="R47" s="16">
        <v>16</v>
      </c>
      <c r="S47" s="17">
        <v>2.856684198736471E-2</v>
      </c>
      <c r="T47" s="18">
        <v>4.7953891612137235E-3</v>
      </c>
    </row>
    <row r="48" spans="1:20" customFormat="1">
      <c r="A48" s="4">
        <v>43252</v>
      </c>
      <c r="B48" s="5">
        <v>2718.3701169999999</v>
      </c>
      <c r="C48" s="5">
        <v>7636.93</v>
      </c>
      <c r="D48" s="5">
        <v>22304.509765999999</v>
      </c>
      <c r="E48" s="5">
        <v>12306</v>
      </c>
      <c r="F48" s="5">
        <v>5323.5297849999997</v>
      </c>
      <c r="G48" s="5">
        <v>16277.700194999999</v>
      </c>
      <c r="H48" s="5">
        <v>21157.47</v>
      </c>
      <c r="I48" s="11">
        <f t="shared" si="2"/>
        <v>4.8424360241866009E-3</v>
      </c>
      <c r="J48" s="11">
        <f t="shared" si="2"/>
        <v>-5.3749576723710673E-3</v>
      </c>
      <c r="K48" s="11">
        <f t="shared" si="2"/>
        <v>4.6252717818759444E-3</v>
      </c>
      <c r="L48" s="11">
        <f t="shared" si="2"/>
        <v>-2.3712198705954136E-2</v>
      </c>
      <c r="M48" s="11">
        <f t="shared" si="2"/>
        <v>-1.3868946050525546E-2</v>
      </c>
      <c r="N48" s="11">
        <f t="shared" si="2"/>
        <v>1.3460772343803471E-2</v>
      </c>
      <c r="O48" s="11">
        <f t="shared" si="2"/>
        <v>1.6551063296929563E-3</v>
      </c>
      <c r="R48" s="16">
        <v>17</v>
      </c>
      <c r="S48" s="17">
        <v>2.9091204963769313E-2</v>
      </c>
      <c r="T48" s="18">
        <v>4.8247447866587492E-3</v>
      </c>
    </row>
    <row r="49" spans="1:25" customFormat="1">
      <c r="A49" s="4">
        <v>43282</v>
      </c>
      <c r="B49" s="5">
        <v>2816.290039</v>
      </c>
      <c r="C49" s="5">
        <v>7748.76</v>
      </c>
      <c r="D49" s="5">
        <v>22553.720702999999</v>
      </c>
      <c r="E49" s="5">
        <v>12805.5</v>
      </c>
      <c r="F49" s="5">
        <v>5511.2998049999997</v>
      </c>
      <c r="G49" s="5">
        <v>16434</v>
      </c>
      <c r="H49" s="5">
        <v>21168.66</v>
      </c>
      <c r="I49" s="11">
        <f t="shared" si="2"/>
        <v>3.6021556221367206E-2</v>
      </c>
      <c r="J49" s="11">
        <f t="shared" si="2"/>
        <v>1.4643318715766665E-2</v>
      </c>
      <c r="K49" s="11">
        <f t="shared" si="2"/>
        <v>1.1173118782457433E-2</v>
      </c>
      <c r="L49" s="11">
        <f t="shared" si="2"/>
        <v>4.0589956118966361E-2</v>
      </c>
      <c r="M49" s="11">
        <f t="shared" si="2"/>
        <v>3.5271713991170982E-2</v>
      </c>
      <c r="N49" s="11">
        <f t="shared" si="2"/>
        <v>9.602081567272689E-3</v>
      </c>
      <c r="O49" s="11">
        <f t="shared" si="2"/>
        <v>5.2889121430864318E-4</v>
      </c>
      <c r="R49" s="16">
        <v>18</v>
      </c>
      <c r="S49" s="17">
        <v>2.9646065782473044E-2</v>
      </c>
      <c r="T49" s="18">
        <v>4.8541073777582447E-3</v>
      </c>
    </row>
    <row r="50" spans="1:25" customFormat="1">
      <c r="A50" s="4">
        <v>43313</v>
      </c>
      <c r="B50" s="5">
        <v>2901.5200199999999</v>
      </c>
      <c r="C50" s="5">
        <v>7432.42</v>
      </c>
      <c r="D50" s="5">
        <v>22865.150390999999</v>
      </c>
      <c r="E50" s="5">
        <v>12364.059569999999</v>
      </c>
      <c r="F50" s="5">
        <v>5406.8500979999999</v>
      </c>
      <c r="G50" s="5">
        <v>16262.900390999999</v>
      </c>
      <c r="H50" s="5">
        <v>20236.27</v>
      </c>
      <c r="I50" s="11">
        <f t="shared" si="2"/>
        <v>3.0263211466054526E-2</v>
      </c>
      <c r="J50" s="11">
        <f t="shared" si="2"/>
        <v>-4.08245964515613E-2</v>
      </c>
      <c r="K50" s="11">
        <f t="shared" si="2"/>
        <v>1.3808350830494018E-2</v>
      </c>
      <c r="L50" s="11">
        <f t="shared" si="2"/>
        <v>-3.4472721096403931E-2</v>
      </c>
      <c r="M50" s="11">
        <f t="shared" si="2"/>
        <v>-1.8951918911259403E-2</v>
      </c>
      <c r="N50" s="11">
        <f t="shared" si="2"/>
        <v>-1.041131854691498E-2</v>
      </c>
      <c r="O50" s="11">
        <f t="shared" si="2"/>
        <v>-4.4045773327173257E-2</v>
      </c>
      <c r="R50" s="16">
        <v>19</v>
      </c>
      <c r="S50" s="17">
        <v>3.0229558354216667E-2</v>
      </c>
      <c r="T50" s="18">
        <v>4.8834663842779614E-3</v>
      </c>
    </row>
    <row r="51" spans="1:25" customFormat="1">
      <c r="A51" s="4">
        <v>43344</v>
      </c>
      <c r="B51" s="5">
        <v>2913.9799800000001</v>
      </c>
      <c r="C51" s="5">
        <v>7510.2</v>
      </c>
      <c r="D51" s="5">
        <v>24120.039063</v>
      </c>
      <c r="E51" s="5">
        <v>12246.730469</v>
      </c>
      <c r="F51" s="5">
        <v>5493.4902339999999</v>
      </c>
      <c r="G51" s="5">
        <v>16073.099609000001</v>
      </c>
      <c r="H51" s="5">
        <v>20253.27</v>
      </c>
      <c r="I51" s="11">
        <f t="shared" si="2"/>
        <v>4.2942871026614999E-3</v>
      </c>
      <c r="J51" s="11">
        <f t="shared" si="2"/>
        <v>1.0464962959574371E-2</v>
      </c>
      <c r="K51" s="11">
        <f t="shared" si="2"/>
        <v>5.488215255710456E-2</v>
      </c>
      <c r="L51" s="11">
        <f t="shared" si="2"/>
        <v>-9.4895289314753245E-3</v>
      </c>
      <c r="M51" s="11">
        <f t="shared" si="2"/>
        <v>1.6024142417421238E-2</v>
      </c>
      <c r="N51" s="11">
        <f t="shared" si="2"/>
        <v>-1.1670783036034303E-2</v>
      </c>
      <c r="O51" s="11">
        <f t="shared" si="2"/>
        <v>8.4007576495075424E-4</v>
      </c>
      <c r="R51" s="16">
        <v>20</v>
      </c>
      <c r="S51" s="17">
        <v>3.0840016023317006E-2</v>
      </c>
      <c r="T51" s="18">
        <v>4.9128205128195828E-3</v>
      </c>
    </row>
    <row r="52" spans="1:25" customFormat="1">
      <c r="A52" s="4">
        <v>43374</v>
      </c>
      <c r="B52" s="5">
        <v>2711.73999</v>
      </c>
      <c r="C52" s="5">
        <v>7128.1</v>
      </c>
      <c r="D52" s="5">
        <v>21920.460938</v>
      </c>
      <c r="E52" s="5">
        <v>11447.509765999999</v>
      </c>
      <c r="F52" s="5">
        <v>5093.4399409999996</v>
      </c>
      <c r="G52" s="5">
        <v>15027.299805000001</v>
      </c>
      <c r="H52" s="5">
        <v>18411.43</v>
      </c>
      <c r="I52" s="11">
        <f t="shared" si="2"/>
        <v>-6.9403356024429527E-2</v>
      </c>
      <c r="J52" s="11">
        <f t="shared" si="2"/>
        <v>-5.0877473302974548E-2</v>
      </c>
      <c r="K52" s="11">
        <f t="shared" si="2"/>
        <v>-9.1192975237512783E-2</v>
      </c>
      <c r="L52" s="11">
        <f t="shared" si="2"/>
        <v>-6.525992427309954E-2</v>
      </c>
      <c r="M52" s="11">
        <f t="shared" si="2"/>
        <v>-7.2822609299281457E-2</v>
      </c>
      <c r="N52" s="11">
        <f t="shared" si="2"/>
        <v>-6.5065222604258177E-2</v>
      </c>
      <c r="O52" s="11">
        <f t="shared" si="2"/>
        <v>-9.0940376541664633E-2</v>
      </c>
      <c r="R52" s="16">
        <v>21</v>
      </c>
      <c r="S52" s="17">
        <v>3.1476072159181606E-2</v>
      </c>
      <c r="T52" s="18">
        <v>4.9421797636049506E-3</v>
      </c>
    </row>
    <row r="53" spans="1:25" customFormat="1">
      <c r="A53" s="4">
        <v>43405</v>
      </c>
      <c r="B53" s="5">
        <v>2760.169922</v>
      </c>
      <c r="C53" s="5">
        <v>6980.24</v>
      </c>
      <c r="D53" s="5">
        <v>22351.060547000001</v>
      </c>
      <c r="E53" s="5">
        <v>11257.240234000001</v>
      </c>
      <c r="F53" s="5">
        <v>5003.919922</v>
      </c>
      <c r="G53" s="5">
        <v>15197.799805000001</v>
      </c>
      <c r="H53" s="5">
        <v>18453.86</v>
      </c>
      <c r="I53" s="11">
        <f t="shared" si="2"/>
        <v>1.7859356788849069E-2</v>
      </c>
      <c r="J53" s="11">
        <f t="shared" si="2"/>
        <v>-2.0743255565999437E-2</v>
      </c>
      <c r="K53" s="11">
        <f t="shared" si="2"/>
        <v>1.9643729674203112E-2</v>
      </c>
      <c r="L53" s="11">
        <f t="shared" si="2"/>
        <v>-1.6621041247338687E-2</v>
      </c>
      <c r="M53" s="11">
        <f t="shared" si="2"/>
        <v>-1.7575552089934735E-2</v>
      </c>
      <c r="N53" s="11">
        <f t="shared" si="2"/>
        <v>1.1346017063110028E-2</v>
      </c>
      <c r="O53" s="11">
        <f t="shared" si="2"/>
        <v>2.3045466864877033E-3</v>
      </c>
      <c r="R53" s="16">
        <v>22</v>
      </c>
      <c r="S53" s="17">
        <v>3.2136096186381545E-2</v>
      </c>
      <c r="T53" s="18">
        <v>4.9715384600898683E-3</v>
      </c>
    </row>
    <row r="54" spans="1:25" customFormat="1">
      <c r="A54" s="4">
        <v>43435</v>
      </c>
      <c r="B54" s="5">
        <v>2506.8500979999999</v>
      </c>
      <c r="C54" s="5">
        <v>6728.13</v>
      </c>
      <c r="D54" s="5">
        <v>20014.769531000002</v>
      </c>
      <c r="E54" s="5">
        <v>10558.959961</v>
      </c>
      <c r="F54" s="5">
        <v>4730.6899409999996</v>
      </c>
      <c r="G54" s="5">
        <v>14322.900390999999</v>
      </c>
      <c r="H54" s="5">
        <v>17914.03</v>
      </c>
      <c r="I54" s="11">
        <f t="shared" si="2"/>
        <v>-9.1776894596563949E-2</v>
      </c>
      <c r="J54" s="11">
        <f t="shared" si="2"/>
        <v>-3.6117669306499442E-2</v>
      </c>
      <c r="K54" s="11">
        <f t="shared" si="2"/>
        <v>-0.10452707651555175</v>
      </c>
      <c r="L54" s="11">
        <f t="shared" si="2"/>
        <v>-6.2029436921049209E-2</v>
      </c>
      <c r="M54" s="11">
        <f t="shared" si="2"/>
        <v>-5.4603188152298414E-2</v>
      </c>
      <c r="N54" s="11">
        <f t="shared" si="2"/>
        <v>-5.7567504851074813E-2</v>
      </c>
      <c r="O54" s="11">
        <f t="shared" si="2"/>
        <v>-2.9252958459639433E-2</v>
      </c>
      <c r="R54" s="16">
        <v>23</v>
      </c>
      <c r="S54" s="17">
        <v>3.2818688712909973E-2</v>
      </c>
      <c r="T54" s="18">
        <v>5.0008986694051755E-3</v>
      </c>
    </row>
    <row r="55" spans="1:25" customFormat="1">
      <c r="A55" s="4">
        <v>43466</v>
      </c>
      <c r="B55" s="5">
        <v>2704.1000979999999</v>
      </c>
      <c r="C55" s="5">
        <v>6968.85</v>
      </c>
      <c r="D55" s="5">
        <v>20773.490234000001</v>
      </c>
      <c r="E55" s="5">
        <v>11173.099609000001</v>
      </c>
      <c r="F55" s="5">
        <v>4992.7202150000003</v>
      </c>
      <c r="G55" s="5">
        <v>15540.599609000001</v>
      </c>
      <c r="H55" s="5">
        <v>17959.39</v>
      </c>
      <c r="I55" s="11">
        <f t="shared" si="2"/>
        <v>7.8684401655036665E-2</v>
      </c>
      <c r="J55" s="11">
        <f t="shared" si="2"/>
        <v>3.5778143406860488E-2</v>
      </c>
      <c r="K55" s="11">
        <f t="shared" ref="K55:O64" si="3">(D55-D54)/D54</f>
        <v>3.7908040950701417E-2</v>
      </c>
      <c r="L55" s="11">
        <f t="shared" si="3"/>
        <v>5.8162892014777312E-2</v>
      </c>
      <c r="M55" s="11">
        <f t="shared" si="3"/>
        <v>5.5389441554609946E-2</v>
      </c>
      <c r="N55" s="11">
        <f t="shared" si="3"/>
        <v>8.5017642010912844E-2</v>
      </c>
      <c r="O55" s="11">
        <f t="shared" si="3"/>
        <v>2.5320935601872156E-3</v>
      </c>
      <c r="R55" s="16">
        <v>24</v>
      </c>
      <c r="S55" s="17">
        <v>3.3522501306797285E-2</v>
      </c>
      <c r="T55" s="18">
        <v>5.0302614111550894E-3</v>
      </c>
    </row>
    <row r="56" spans="1:25" customFormat="1">
      <c r="A56" s="4">
        <v>43497</v>
      </c>
      <c r="B56" s="5">
        <v>2784.48999</v>
      </c>
      <c r="C56" s="5">
        <v>7074.73</v>
      </c>
      <c r="D56" s="5">
        <v>21385.160156000002</v>
      </c>
      <c r="E56" s="5">
        <v>11515.639648</v>
      </c>
      <c r="F56" s="5">
        <v>5240.5297849999997</v>
      </c>
      <c r="G56" s="5">
        <v>15999</v>
      </c>
      <c r="H56" s="5">
        <v>19267.89</v>
      </c>
      <c r="I56" s="11">
        <f t="shared" ref="I56:J64" si="4">(B56-B55)/B55</f>
        <v>2.9728889126352211E-2</v>
      </c>
      <c r="J56" s="11">
        <f t="shared" si="4"/>
        <v>1.5193324580095596E-2</v>
      </c>
      <c r="K56" s="11">
        <f t="shared" si="3"/>
        <v>2.9444735338642322E-2</v>
      </c>
      <c r="L56" s="11">
        <f t="shared" si="3"/>
        <v>3.0657566027969662E-2</v>
      </c>
      <c r="M56" s="11">
        <f t="shared" si="3"/>
        <v>4.9634179230690065E-2</v>
      </c>
      <c r="N56" s="11">
        <f t="shared" si="3"/>
        <v>2.9496956522483637E-2</v>
      </c>
      <c r="O56" s="11">
        <f t="shared" si="3"/>
        <v>7.285882204239677E-2</v>
      </c>
      <c r="R56" s="16">
        <v>25</v>
      </c>
      <c r="S56" s="17">
        <v>3.4246078121403539E-2</v>
      </c>
      <c r="T56" s="18">
        <v>5.0596204148768004E-3</v>
      </c>
    </row>
    <row r="57" spans="1:25" customFormat="1">
      <c r="A57" s="4">
        <v>43525</v>
      </c>
      <c r="B57" s="5">
        <v>2834.3999020000001</v>
      </c>
      <c r="C57" s="5">
        <v>7279.19</v>
      </c>
      <c r="D57" s="5">
        <v>21205.810547000001</v>
      </c>
      <c r="E57" s="5">
        <v>11526.040039</v>
      </c>
      <c r="F57" s="5">
        <v>5350.5297849999997</v>
      </c>
      <c r="G57" s="5">
        <v>16102.099609000001</v>
      </c>
      <c r="H57" s="5">
        <v>20385.86</v>
      </c>
      <c r="I57" s="11">
        <f t="shared" si="4"/>
        <v>1.7924256211817115E-2</v>
      </c>
      <c r="J57" s="11">
        <f t="shared" si="4"/>
        <v>2.8900042828489576E-2</v>
      </c>
      <c r="K57" s="11">
        <f t="shared" si="3"/>
        <v>-8.3866385704706049E-3</v>
      </c>
      <c r="L57" s="11">
        <f t="shared" si="3"/>
        <v>9.0315356488300015E-4</v>
      </c>
      <c r="M57" s="11">
        <f t="shared" si="3"/>
        <v>2.0990244214402459E-2</v>
      </c>
      <c r="N57" s="11">
        <f t="shared" si="3"/>
        <v>6.4441283205200813E-3</v>
      </c>
      <c r="O57" s="11">
        <f t="shared" si="3"/>
        <v>5.8022440443660471E-2</v>
      </c>
      <c r="R57" s="16">
        <v>26</v>
      </c>
      <c r="S57" s="17">
        <v>3.4988275754142407E-2</v>
      </c>
      <c r="T57" s="18">
        <v>5.0889794185947851E-3</v>
      </c>
    </row>
    <row r="58" spans="1:25" customFormat="1">
      <c r="A58" s="4">
        <v>43556</v>
      </c>
      <c r="B58" s="5">
        <v>2945.830078</v>
      </c>
      <c r="C58" s="5">
        <v>7418.22</v>
      </c>
      <c r="D58" s="5">
        <v>22258.730468999998</v>
      </c>
      <c r="E58" s="5">
        <v>12344.080078000001</v>
      </c>
      <c r="F58" s="5">
        <v>5586.4101559999999</v>
      </c>
      <c r="G58" s="5">
        <v>16580.699218999998</v>
      </c>
      <c r="H58" s="5">
        <v>21348.9</v>
      </c>
      <c r="I58" s="11">
        <f t="shared" si="4"/>
        <v>3.9313498395682572E-2</v>
      </c>
      <c r="J58" s="11">
        <f t="shared" si="4"/>
        <v>1.9099652571233978E-2</v>
      </c>
      <c r="K58" s="11">
        <f t="shared" si="3"/>
        <v>4.9652425200457831E-2</v>
      </c>
      <c r="L58" s="11">
        <f t="shared" si="3"/>
        <v>7.0973208164473334E-2</v>
      </c>
      <c r="M58" s="11">
        <f t="shared" si="3"/>
        <v>4.4085423402609882E-2</v>
      </c>
      <c r="N58" s="11">
        <f t="shared" si="3"/>
        <v>2.9722807684812245E-2</v>
      </c>
      <c r="O58" s="11">
        <f t="shared" si="3"/>
        <v>4.7240587348289495E-2</v>
      </c>
      <c r="R58" s="16">
        <v>27</v>
      </c>
      <c r="S58" s="17">
        <v>3.5747934506592513E-2</v>
      </c>
      <c r="T58" s="18">
        <v>5.1183384223127577E-3</v>
      </c>
      <c r="U58" s="1"/>
      <c r="V58" s="1"/>
      <c r="W58" s="1"/>
      <c r="X58" s="1"/>
      <c r="Y58" s="1"/>
    </row>
    <row r="59" spans="1:25" customFormat="1">
      <c r="A59" s="4">
        <v>43586</v>
      </c>
      <c r="B59" s="5">
        <v>2752.0600589999999</v>
      </c>
      <c r="C59" s="5">
        <v>7161.71</v>
      </c>
      <c r="D59" s="5">
        <v>20601.189452999999</v>
      </c>
      <c r="E59" s="5">
        <v>11726.839844</v>
      </c>
      <c r="F59" s="5">
        <v>5207.6298829999996</v>
      </c>
      <c r="G59" s="5">
        <v>16037.5</v>
      </c>
      <c r="H59" s="5">
        <v>19535.5</v>
      </c>
      <c r="I59" s="11">
        <f t="shared" si="4"/>
        <v>-6.5777731189286898E-2</v>
      </c>
      <c r="J59" s="11">
        <f t="shared" si="4"/>
        <v>-3.4578375944633644E-2</v>
      </c>
      <c r="K59" s="11">
        <f t="shared" si="3"/>
        <v>-7.4467006027521501E-2</v>
      </c>
      <c r="L59" s="11">
        <f t="shared" si="3"/>
        <v>-5.000293501822508E-2</v>
      </c>
      <c r="M59" s="11">
        <f t="shared" si="3"/>
        <v>-6.7803878058108044E-2</v>
      </c>
      <c r="N59" s="11">
        <f t="shared" si="3"/>
        <v>-3.2760935580903643E-2</v>
      </c>
      <c r="O59" s="11">
        <f t="shared" si="3"/>
        <v>-8.4941144508616437E-2</v>
      </c>
      <c r="R59" s="16">
        <v>28</v>
      </c>
      <c r="S59" s="17">
        <v>3.6523964730272446E-2</v>
      </c>
      <c r="T59" s="18">
        <v>5.1476974260307408E-3</v>
      </c>
      <c r="U59" s="1"/>
      <c r="V59" s="1"/>
      <c r="W59" s="1"/>
      <c r="X59" s="1"/>
      <c r="Y59" s="1"/>
    </row>
    <row r="60" spans="1:25" customFormat="1">
      <c r="A60" s="4">
        <v>43617</v>
      </c>
      <c r="B60" s="5">
        <v>2941.76001</v>
      </c>
      <c r="C60" s="5">
        <v>7425.63</v>
      </c>
      <c r="D60" s="5">
        <v>21275.919922000001</v>
      </c>
      <c r="E60" s="5">
        <v>12398.799805000001</v>
      </c>
      <c r="F60" s="5">
        <v>5538.9702150000003</v>
      </c>
      <c r="G60" s="5">
        <v>16382.200194999999</v>
      </c>
      <c r="H60" s="5">
        <v>19593.7</v>
      </c>
      <c r="I60" s="11">
        <f t="shared" si="4"/>
        <v>6.8930163925612228E-2</v>
      </c>
      <c r="J60" s="11">
        <f t="shared" si="4"/>
        <v>3.6851534060999405E-2</v>
      </c>
      <c r="K60" s="11">
        <f t="shared" si="3"/>
        <v>3.2752015146472323E-2</v>
      </c>
      <c r="L60" s="11">
        <f t="shared" si="3"/>
        <v>5.730102652879724E-2</v>
      </c>
      <c r="M60" s="11">
        <f t="shared" si="3"/>
        <v>6.3625937219855364E-2</v>
      </c>
      <c r="N60" s="11">
        <f t="shared" si="3"/>
        <v>2.1493387061574401E-2</v>
      </c>
      <c r="O60" s="11">
        <f t="shared" si="3"/>
        <v>2.9791917278800505E-3</v>
      </c>
      <c r="R60" s="16">
        <v>29</v>
      </c>
      <c r="S60" s="17">
        <v>3.7315205369550561E-2</v>
      </c>
      <c r="T60" s="18">
        <v>5.1770512820508065E-3</v>
      </c>
      <c r="U60" s="1"/>
      <c r="V60" s="1"/>
      <c r="W60" s="1"/>
      <c r="X60" s="1"/>
      <c r="Y60" s="1"/>
    </row>
    <row r="61" spans="1:25" customFormat="1">
      <c r="A61" s="4">
        <v>43647</v>
      </c>
      <c r="B61" s="5">
        <v>2980.3798830000001</v>
      </c>
      <c r="C61" s="5">
        <v>7586.78</v>
      </c>
      <c r="D61" s="5">
        <v>21521.529297000001</v>
      </c>
      <c r="E61" s="5">
        <v>12189.040039</v>
      </c>
      <c r="F61" s="5">
        <v>5518.8999020000001</v>
      </c>
      <c r="G61" s="5">
        <v>16406.599609000001</v>
      </c>
      <c r="H61" s="5">
        <v>21235.08</v>
      </c>
      <c r="I61" s="11">
        <f t="shared" si="4"/>
        <v>1.312815214997776E-2</v>
      </c>
      <c r="J61" s="11">
        <f t="shared" si="4"/>
        <v>2.170186233356626E-2</v>
      </c>
      <c r="K61" s="11">
        <f t="shared" si="3"/>
        <v>1.1544007304992337E-2</v>
      </c>
      <c r="L61" s="11">
        <f t="shared" si="3"/>
        <v>-1.6917747628719056E-2</v>
      </c>
      <c r="M61" s="11">
        <f t="shared" si="3"/>
        <v>-3.6234737182099415E-3</v>
      </c>
      <c r="N61" s="11">
        <f t="shared" si="3"/>
        <v>1.4893856569673878E-3</v>
      </c>
      <c r="O61" s="11">
        <f t="shared" si="3"/>
        <v>8.3770803880839295E-2</v>
      </c>
      <c r="R61" s="16">
        <v>30</v>
      </c>
      <c r="S61" s="17">
        <v>3.8121119993999475E-2</v>
      </c>
      <c r="T61" s="18">
        <v>5.2064154334615521E-3</v>
      </c>
      <c r="U61" s="1"/>
      <c r="V61" s="1"/>
      <c r="W61" s="1"/>
      <c r="X61" s="1"/>
      <c r="Y61" s="1"/>
    </row>
    <row r="62" spans="1:25" customFormat="1">
      <c r="A62" s="4">
        <v>43678</v>
      </c>
      <c r="B62" s="5">
        <v>2926.459961</v>
      </c>
      <c r="C62" s="5">
        <v>7207.18</v>
      </c>
      <c r="D62" s="5">
        <v>20704.369140999999</v>
      </c>
      <c r="E62" s="5">
        <v>11939.280273</v>
      </c>
      <c r="F62" s="5">
        <v>5480.4799800000001</v>
      </c>
      <c r="G62" s="5">
        <v>16442.099609000001</v>
      </c>
      <c r="H62" s="5">
        <v>19936.13</v>
      </c>
      <c r="I62" s="11">
        <f t="shared" si="4"/>
        <v>-1.8091627281326687E-2</v>
      </c>
      <c r="J62" s="11">
        <f t="shared" si="4"/>
        <v>-5.0034401946543787E-2</v>
      </c>
      <c r="K62" s="11">
        <f t="shared" si="3"/>
        <v>-3.7969427949244759E-2</v>
      </c>
      <c r="L62" s="11">
        <f t="shared" si="3"/>
        <v>-2.0490519778495187E-2</v>
      </c>
      <c r="M62" s="11">
        <f t="shared" si="3"/>
        <v>-6.9615181797511869E-3</v>
      </c>
      <c r="N62" s="11">
        <f t="shared" si="3"/>
        <v>2.1637634150909689E-3</v>
      </c>
      <c r="O62" s="11">
        <f t="shared" si="3"/>
        <v>-6.1170007365171246E-2</v>
      </c>
      <c r="R62" s="16">
        <v>31</v>
      </c>
      <c r="S62" s="17">
        <v>3.894037973190595E-2</v>
      </c>
      <c r="T62" s="18">
        <v>5.2357738899124831E-3</v>
      </c>
      <c r="U62" s="1"/>
      <c r="V62" s="1"/>
      <c r="W62" s="1"/>
      <c r="X62" s="1"/>
      <c r="Y62" s="1"/>
    </row>
    <row r="63" spans="1:25" customFormat="1">
      <c r="A63" s="4">
        <v>43709</v>
      </c>
      <c r="B63" s="5">
        <v>2976.73999</v>
      </c>
      <c r="C63" s="5">
        <v>7408.21</v>
      </c>
      <c r="D63" s="5">
        <v>21755.839843999998</v>
      </c>
      <c r="E63" s="5">
        <v>12428.080078000001</v>
      </c>
      <c r="F63" s="5">
        <v>5677.7900390000004</v>
      </c>
      <c r="G63" s="5">
        <v>16658.599609000001</v>
      </c>
      <c r="H63" s="5">
        <v>21311.18</v>
      </c>
      <c r="I63" s="11">
        <f t="shared" si="4"/>
        <v>1.7181177829208652E-2</v>
      </c>
      <c r="J63" s="11">
        <f t="shared" si="4"/>
        <v>2.7893017796142144E-2</v>
      </c>
      <c r="K63" s="11">
        <f t="shared" si="3"/>
        <v>5.0784966971913932E-2</v>
      </c>
      <c r="L63" s="11">
        <f t="shared" si="3"/>
        <v>4.0940474955210943E-2</v>
      </c>
      <c r="M63" s="11">
        <f t="shared" si="3"/>
        <v>3.6002331861451367E-2</v>
      </c>
      <c r="N63" s="11">
        <f t="shared" si="3"/>
        <v>1.3167418100392314E-2</v>
      </c>
      <c r="O63" s="11">
        <f t="shared" si="3"/>
        <v>6.8972764523505772E-2</v>
      </c>
      <c r="R63" s="16">
        <v>32</v>
      </c>
      <c r="S63" s="17">
        <v>3.9772187066252344E-2</v>
      </c>
      <c r="T63" s="18">
        <v>5.2651282051280873E-3</v>
      </c>
      <c r="U63" s="1"/>
      <c r="V63" s="1"/>
      <c r="W63" s="1"/>
      <c r="X63" s="1"/>
      <c r="Y63" s="1"/>
    </row>
    <row r="64" spans="1:25" customFormat="1">
      <c r="A64" s="4">
        <v>43739</v>
      </c>
      <c r="B64" s="5">
        <v>2887.610107</v>
      </c>
      <c r="C64" s="5">
        <v>7077.64</v>
      </c>
      <c r="D64" s="5">
        <v>21778.609375</v>
      </c>
      <c r="E64" s="5">
        <v>11925.25</v>
      </c>
      <c r="F64" s="5">
        <v>5422.7700199999999</v>
      </c>
      <c r="G64" s="5">
        <v>16311</v>
      </c>
      <c r="H64" s="5">
        <v>21125.5</v>
      </c>
      <c r="I64" s="11">
        <f t="shared" si="4"/>
        <v>-2.9942112276994694E-2</v>
      </c>
      <c r="J64" s="11">
        <f t="shared" si="4"/>
        <v>-4.4622115193818708E-2</v>
      </c>
      <c r="K64" s="11">
        <f t="shared" si="3"/>
        <v>1.0465939795140245E-3</v>
      </c>
      <c r="L64" s="11">
        <f t="shared" si="3"/>
        <v>-4.0459191994594808E-2</v>
      </c>
      <c r="M64" s="11">
        <f t="shared" si="3"/>
        <v>-4.491536623374609E-2</v>
      </c>
      <c r="N64" s="11">
        <f t="shared" si="3"/>
        <v>-2.0866076210404028E-2</v>
      </c>
      <c r="O64" s="11">
        <f t="shared" si="3"/>
        <v>-8.7127976958573054E-3</v>
      </c>
      <c r="R64" s="16">
        <v>33</v>
      </c>
      <c r="S64" s="17">
        <v>4.0616165966610655E-2</v>
      </c>
      <c r="T64" s="18">
        <v>5.2944924446153953E-3</v>
      </c>
      <c r="U64" s="1"/>
      <c r="V64" s="1"/>
      <c r="W64" s="1"/>
      <c r="X64" s="1"/>
      <c r="Y64" s="1"/>
    </row>
    <row r="65" spans="18:20">
      <c r="R65" s="16">
        <v>34</v>
      </c>
      <c r="S65" s="17">
        <v>4.1471157740118711E-2</v>
      </c>
      <c r="T65" s="18">
        <v>5.3238514483386155E-3</v>
      </c>
    </row>
    <row r="66" spans="18:20">
      <c r="R66" s="16">
        <v>35</v>
      </c>
      <c r="S66" s="17">
        <v>4.2336635615316677E-2</v>
      </c>
      <c r="T66" s="18">
        <v>5.3532104520565881E-3</v>
      </c>
    </row>
    <row r="67" spans="18:20">
      <c r="R67" s="16">
        <v>36</v>
      </c>
      <c r="S67" s="17">
        <v>4.3211936137391598E-2</v>
      </c>
      <c r="T67" s="18">
        <v>5.3825683552274819E-3</v>
      </c>
    </row>
    <row r="68" spans="18:20">
      <c r="R68" s="16">
        <v>37</v>
      </c>
      <c r="S68" s="17">
        <v>4.4096402172502693E-2</v>
      </c>
      <c r="T68" s="18">
        <v>5.4119230756839243E-3</v>
      </c>
    </row>
    <row r="69" spans="18:20">
      <c r="R69" s="16">
        <v>38</v>
      </c>
      <c r="S69" s="17">
        <v>4.4989876046511057E-2</v>
      </c>
      <c r="T69" s="18">
        <v>5.4412874628961602E-3</v>
      </c>
    </row>
    <row r="70" spans="18:20">
      <c r="R70" s="16">
        <v>39</v>
      </c>
      <c r="S70" s="17">
        <v>4.5891392858989778E-2</v>
      </c>
      <c r="T70" s="18">
        <v>5.4706464668405853E-3</v>
      </c>
    </row>
    <row r="71" spans="18:20">
      <c r="R71" s="16">
        <v>40</v>
      </c>
      <c r="S71" s="17">
        <v>4.6800541840559512E-2</v>
      </c>
      <c r="T71" s="18">
        <v>5.5000000059415586E-3</v>
      </c>
    </row>
  </sheetData>
  <mergeCells count="2">
    <mergeCell ref="B1:H1"/>
    <mergeCell ref="I1:O1"/>
  </mergeCells>
  <phoneticPr fontId="6" type="noConversion"/>
  <dataValidations count="2">
    <dataValidation allowBlank="1" showInputMessage="1" showErrorMessage="1" promptTitle="Output area" prompt="VBA will populate this table with the standard deviation and expected return of 40 portfolios" sqref="T32:T71 R33:S71" xr:uid="{457E9C12-1AB4-D04C-937E-86B7D4A19A4F}"/>
    <dataValidation allowBlank="1" showInputMessage="1" showErrorMessage="1" promptTitle="Output area" prompt="VBA will populate this table with the standard deviation and expected return of 40 portfolios_x000a__x000a_Name this 40x3 range of cells 'Output'" sqref="R32:S32" xr:uid="{C3BF3AAD-ADD2-1543-BF15-57113AFC781E}"/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26"/>
  <sheetViews>
    <sheetView workbookViewId="0">
      <selection activeCell="A7" sqref="A7"/>
    </sheetView>
  </sheetViews>
  <sheetFormatPr defaultColWidth="11" defaultRowHeight="15.5"/>
  <cols>
    <col min="1" max="1" width="72.6640625" bestFit="1" customWidth="1"/>
  </cols>
  <sheetData>
    <row r="1" spans="1:19">
      <c r="A1" t="s">
        <v>17</v>
      </c>
    </row>
    <row r="3" spans="1:19">
      <c r="A3" t="s">
        <v>16</v>
      </c>
    </row>
    <row r="4" spans="1:19">
      <c r="A4" t="s">
        <v>35</v>
      </c>
    </row>
    <row r="5" spans="1:19">
      <c r="A5" t="s">
        <v>36</v>
      </c>
    </row>
    <row r="6" spans="1:19">
      <c r="A6" t="s">
        <v>37</v>
      </c>
    </row>
    <row r="15" spans="1:19">
      <c r="S15">
        <v>0</v>
      </c>
    </row>
    <row r="16" spans="1:19">
      <c r="S16">
        <v>0</v>
      </c>
    </row>
    <row r="17" spans="19:19">
      <c r="S17">
        <v>0</v>
      </c>
    </row>
    <row r="18" spans="19:19">
      <c r="S18">
        <v>0</v>
      </c>
    </row>
    <row r="19" spans="19:19">
      <c r="S19">
        <v>0</v>
      </c>
    </row>
    <row r="20" spans="19:19">
      <c r="S20">
        <v>0</v>
      </c>
    </row>
    <row r="21" spans="19:19">
      <c r="S21">
        <v>0</v>
      </c>
    </row>
    <row r="23" spans="19:19">
      <c r="S23">
        <v>0</v>
      </c>
    </row>
    <row r="25" spans="19:19">
      <c r="S25">
        <v>0</v>
      </c>
    </row>
    <row r="26" spans="19:19">
      <c r="S26">
        <v>0</v>
      </c>
    </row>
  </sheetData>
  <phoneticPr fontId="6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Short sales</vt:lpstr>
      <vt:lpstr>No short sales</vt:lpstr>
      <vt:lpstr>VBA notes</vt:lpstr>
      <vt:lpstr>ExpectedReturn</vt:lpstr>
      <vt:lpstr>Output</vt:lpstr>
      <vt:lpstr>PortfolioReturn</vt:lpstr>
      <vt:lpstr>PortfolioVariance</vt:lpstr>
      <vt:lpstr>PortfolioWeights</vt:lpstr>
      <vt:lpstr>TargetReturn</vt:lpstr>
      <vt:lpstr>WeightsSum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Harris</dc:creator>
  <cp:lastModifiedBy>Lee, Wei-Ming</cp:lastModifiedBy>
  <dcterms:created xsi:type="dcterms:W3CDTF">2012-10-05T17:07:25Z</dcterms:created>
  <dcterms:modified xsi:type="dcterms:W3CDTF">2022-10-05T13:48:42Z</dcterms:modified>
</cp:coreProperties>
</file>